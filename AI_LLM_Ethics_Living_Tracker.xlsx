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5718d2ef3841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f66bb966c5814acb"/>
    <x:sheet xmlns:r="http://schemas.openxmlformats.org/officeDocument/2006/relationships" name="2026 Reading Library" sheetId="2" r:id="R059d46bceb4d4921"/>
    <x:sheet xmlns:r="http://schemas.openxmlformats.org/officeDocument/2006/relationships" name="Topic Map" sheetId="3" r:id="R01d9b2c09767447e"/>
    <x:sheet xmlns:r="http://schemas.openxmlformats.org/officeDocument/2006/relationships" name="Living Dashboard" sheetId="4" r:id="Ra9c390ae1cc741aa"/>
    <x:sheet xmlns:r="http://schemas.openxmlformats.org/officeDocument/2006/relationships" name="New This Week" sheetId="5" r:id="Rea38befed856463b"/>
    <x:sheet xmlns:r="http://schemas.openxmlformats.org/officeDocument/2006/relationships" name="Review Queue" sheetId="6" r:id="R195b843edd024699"/>
    <x:sheet xmlns:r="http://schemas.openxmlformats.org/officeDocument/2006/relationships" name="2026 Only" sheetId="7" r:id="R57bbbfdb81904be7"/>
    <x:sheet xmlns:r="http://schemas.openxmlformats.org/officeDocument/2006/relationships" name="Policy &amp; Regulation" sheetId="8" r:id="R615552300962439a"/>
    <x:sheet xmlns:r="http://schemas.openxmlformats.org/officeDocument/2006/relationships" name="Source Config" sheetId="9" r:id="R332dc7496aeb4268"/>
    <x:sheet xmlns:r="http://schemas.openxmlformats.org/officeDocument/2006/relationships" name="Update Log" sheetId="10" r:id="Ra2760ce0b50c4d76"/>
    <x:sheet xmlns:r="http://schemas.openxmlformats.org/officeDocument/2006/relationships" name="Automation Guide" sheetId="11" r:id="R475fa7206ece49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8"/>
      <x:color rgb="FFFFFFFF"/>
      <x:name val="Carlito"/>
    </x:font>
    <x:font>
      <x:sz val="11"/>
      <x:color rgb="FF334155"/>
      <x:name val="Carlito"/>
    </x:font>
    <x:font>
      <x:b/>
      <x:sz val="11"/>
      <x:color rgb="FFFFFFFF"/>
      <x:name val="Carlito"/>
    </x:font>
    <x:font>
      <x:sz val="10"/>
      <x:name val="Carlito"/>
    </x:font>
    <x:font>
      <x:b/>
      <x:sz val="11"/>
      <x:color rgb="FF173F5F"/>
      <x:name val="Carlito"/>
    </x:font>
    <x:font>
      <x:b/>
      <x:sz val="16"/>
      <x:color rgb="FF173F5F"/>
      <x:name val="Carlito"/>
    </x:font>
    <x:font>
      <x:b/>
      <x:sz val="12"/>
      <x:color rgb="FFFFFFFF"/>
      <x:name val="Carlito"/>
    </x:font>
    <x:font>
      <x:b/>
      <x:sz val="16"/>
      <x:color rgb="FFFFFFFF"/>
      <x:name val="Carlito"/>
    </x:font>
    <x:font>
      <x:b/>
      <x:sz val="14"/>
      <x:name val="Carlito"/>
    </x:font>
    <x:font>
      <x:b/>
      <x:sz val="11"/>
      <x:color rgb="FF1F1F1F"/>
      <x:name val="Carlito"/>
    </x:font>
    <x:font>
      <x:b/>
      <x:sz val="11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3F6F8"/>
      </x:patternFill>
    </x:fill>
    <x:fill>
      <x:patternFill patternType="solid">
        <x:fgColor rgb="FF3CAEA3"/>
      </x:patternFill>
    </x:fill>
    <x:fill>
      <x:patternFill patternType="solid">
        <x:fgColor rgb="FFE8F3F8"/>
      </x:patternFill>
    </x:fill>
    <x:fill>
      <x:patternFill patternType="solid">
        <x:fgColor rgb="FFFFFFFF"/>
      </x:patternFill>
    </x:fill>
    <x:fill>
      <x:patternFill patternType="solid">
        <x:fgColor rgb="FF20639B"/>
      </x:patternFill>
    </x:fill>
    <x:fill>
      <x:patternFill patternType="solid">
        <x:fgColor rgb="FF15324A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DCE6F1"/>
      </x:patternFill>
    </x:fill>
  </x:fills>
  <x:borders count="2">
    <x:border/>
    <x:border/>
  </x:borders>
  <x:cellStyleXfs count="1">
    <x:xf numFmtId="0" fontId="0" fillId="0" borderId="0"/>
  </x:cellStyleXfs>
  <x:cellXfs count="7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0" fontId="4" fillId="0" borderId="1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center"/>
    </x:xf>
    <x:xf numFmtId="0" fontId="0" fillId="7" borderId="1" xfId="0" applyNumberFormat="1" applyFont="1" applyFill="1" applyBorder="1"/>
    <x:xf numFmtId="0" fontId="7" fillId="7" borderId="1" xfId="0" applyNumberFormat="1" applyFont="1" applyFill="1" applyBorder="1"/>
    <x:xf numFmtId="0" fontId="7" fillId="7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xfId="0" applyNumberFormat="1" applyFont="1" applyFill="1" applyBorder="0"/>
    <x:xf numFmtId="0" fontId="3" fillId="9" xfId="0" applyNumberFormat="1" applyFont="1" applyFill="1" applyBorder="0" applyAlignment="1">
      <x:alignment wrapText="1"/>
    </x:xf>
    <x:xf numFmtId="0" fontId="3" fillId="9" xfId="0" applyNumberFormat="1" applyFont="1" applyFill="1" applyBorder="0" applyAlignment="1">
      <x:alignment horizontal="center" wrapText="1"/>
    </x:xf>
    <x:xf numFmtId="0" fontId="3" fillId="9" xfId="0" applyNumberFormat="1" applyFont="1" applyFill="1" applyBorder="0" applyAlignment="1">
      <x:alignment horizontal="center"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66534"/>
      </x:font>
      <x:fill>
        <x:patternFill>
          <x:bgColor rgb="FFDCFCE7"/>
        </x:patternFill>
      </x:fill>
    </x:dxf>
    <x:dxf>
      <x:font>
        <x:color rgb="FF475569"/>
      </x:font>
      <x:fill>
        <x:patternFill>
          <x:bgColor rgb="FFF1F5F9"/>
        </x:patternFill>
      </x:fill>
    </x:dxf>
    <x:dxf>
      <x:font>
        <x:b/>
        <x:color rgb="FF075985"/>
      </x:font>
      <x:fill>
        <x:patternFill>
          <x:bgColor rgb="FFE0F2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ce3ab80df94f9d" /><Relationship Type="http://schemas.openxmlformats.org/officeDocument/2006/relationships/theme" Target="/xl/theme/theme1.xml" Id="R53f91e9f8c3946b7" /><Relationship Type="http://schemas.openxmlformats.org/officeDocument/2006/relationships/sharedStrings" Target="/xl/sharedStrings.xml" Id="R245ee8403b6d409e" /><Relationship Type="http://schemas.openxmlformats.org/officeDocument/2006/relationships/worksheet" Target="/xl/worksheets/sheet1.xml" Id="Rf66bb966c5814acb" /><Relationship Type="http://schemas.openxmlformats.org/officeDocument/2006/relationships/worksheet" Target="/xl/worksheets/sheet2.xml" Id="R059d46bceb4d4921" /><Relationship Type="http://schemas.openxmlformats.org/officeDocument/2006/relationships/worksheet" Target="/xl/worksheets/sheet3.xml" Id="R01d9b2c09767447e" /><Relationship Type="http://schemas.openxmlformats.org/officeDocument/2006/relationships/worksheet" Target="/xl/worksheets/sheet4.xml" Id="Ra9c390ae1cc741aa" /><Relationship Type="http://schemas.openxmlformats.org/officeDocument/2006/relationships/worksheet" Target="/xl/worksheets/sheet5.xml" Id="Rea38befed856463b" /><Relationship Type="http://schemas.openxmlformats.org/officeDocument/2006/relationships/worksheet" Target="/xl/worksheets/sheet6.xml" Id="R195b843edd024699" /><Relationship Type="http://schemas.openxmlformats.org/officeDocument/2006/relationships/worksheet" Target="/xl/worksheets/sheet7.xml" Id="R57bbbfdb81904be7" /><Relationship Type="http://schemas.openxmlformats.org/officeDocument/2006/relationships/worksheet" Target="/xl/worksheets/sheet8.xml" Id="R615552300962439a" /><Relationship Type="http://schemas.openxmlformats.org/officeDocument/2006/relationships/worksheet" Target="/xl/worksheets/sheet9.xml" Id="R332dc7496aeb4268" /><Relationship Type="http://schemas.openxmlformats.org/officeDocument/2006/relationships/worksheet" Target="/xl/worksheets/sheet10.xml" Id="Ra2760ce0b50c4d76" /><Relationship Type="http://schemas.openxmlformats.org/officeDocument/2006/relationships/worksheet" Target="/xl/worksheets/sheet11.xml" Id="R475fa7206ece493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786c0e60b464fc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5a988976fb78493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Curated Source Count by Ethics Theme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Sources in library</c:v>
          </c:tx>
          <c:cat>
            <c:strRef>
              <c:f>'Topic Map'!$A$4:$A$17</c:f>
              <c:strCache>
                <c:ptCount val="0"/>
              </c:strCache>
            </c:strRef>
          </c:cat>
          <c:val>
            <c:numRef>
              <c:f>'Topic Map'!$B$4:$B$17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Curated sources by theme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Curated count</c:v>
          </c:tx>
          <c:cat>
            <c:strRef>
              <c:f>'Living Dashboard'!$A$10:$A$24</c:f>
              <c:strCache>
                <c:ptCount val="0"/>
              </c:strCache>
            </c:strRef>
          </c:cat>
          <c:val>
            <c:numRef>
              <c:f>'Living Dashboard'!$B$10:$B$24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786c0e60b464fcf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988976fb78493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thicsReadingTable" displayName="EthicsReadingTable" ref="A4:R38" headerRowCount="1" totalsRowCount="0" totalsRowShown="0">
  <x:tableColumns count="18">
    <x:tableColumn id="1" name="ID"/>
    <x:tableColumn id="2" name="Theme"/>
    <x:tableColumn id="3" name="Subtopic"/>
    <x:tableColumn id="4" name="Title"/>
    <x:tableColumn id="5" name="Author / Body"/>
    <x:tableColumn id="6" name="Year"/>
    <x:tableColumn id="7" name="Source Type"/>
    <x:tableColumn id="8" name="Status"/>
    <x:tableColumn id="9" name="What it covers"/>
    <x:tableColumn id="10" name="Why the reader benefits"/>
    <x:tableColumn id="11" name="Best use"/>
    <x:tableColumn id="12" name="2026 Relevance Score"/>
    <x:tableColumn id="13" name="Read Priority"/>
    <x:tableColumn id="14" name="Region / Scope"/>
    <x:tableColumn id="15" name="Key ethical question"/>
    <x:tableColumn id="16" name="Source URL"/>
    <x:tableColumn id="17" name="Notes / status"/>
    <x:tableColumn id="18" name="Reader mod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picMapTable" displayName="TopicMapTable" ref="A3:F17" headerRowCount="1" totalsRowCount="0" totalsRowShown="0">
  <x:tableColumns count="6">
    <x:tableColumn id="1" name="Theme"/>
    <x:tableColumn id="2" name="Sources in library"/>
    <x:tableColumn id="3" name="2026-heavy?"/>
    <x:tableColumn id="4" name="Start with"/>
    <x:tableColumn id="5" name="Then read"/>
    <x:tableColumn id="6" name="Typical reader ques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NewThisWeekTable" displayName="NewThisWeekTable" ref="A4:M5" headerRowCount="1" totalsRowCount="0" totalsRowShown="0">
  <x:tableColumns count="13">
    <x:tableColumn id="1" name="Detected"/>
    <x:tableColumn id="2" name="Published"/>
    <x:tableColumn id="3" name="Title"/>
    <x:tableColumn id="4" name="Theme"/>
    <x:tableColumn id="5" name="Source"/>
    <x:tableColumn id="6" name="Source Type"/>
    <x:tableColumn id="7" name="Importance Score"/>
    <x:tableColumn id="8" name="Priority"/>
    <x:tableColumn id="9" name="Why flagged"/>
    <x:tableColumn id="10" name="URL"/>
    <x:tableColumn id="11" name="DOI"/>
    <x:tableColumn id="12" name="Decision"/>
    <x:tableColumn id="13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viewQueueTable" displayName="ReviewQueueTable" ref="A4:N5" headerRowCount="1" totalsRowCount="0" totalsRowShown="0">
  <x:tableColumns count="14">
    <x:tableColumn id="1" name="Detected"/>
    <x:tableColumn id="2" name="Published"/>
    <x:tableColumn id="3" name="Title"/>
    <x:tableColumn id="4" name="Theme"/>
    <x:tableColumn id="5" name="Source"/>
    <x:tableColumn id="6" name="Source Type"/>
    <x:tableColumn id="7" name="Importance Score"/>
    <x:tableColumn id="8" name="Priority"/>
    <x:tableColumn id="9" name="Why flagged"/>
    <x:tableColumn id="10" name="URL"/>
    <x:tableColumn id="11" name="DOI"/>
    <x:tableColumn id="12" name="Decision"/>
    <x:tableColumn id="13" name="Notes"/>
    <x:tableColumn id="14" name="Reviewer rational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Only2026Table" displayName="Only2026Table" ref="A3:R20" headerRowCount="1" totalsRowCount="0" totalsRowShown="0">
  <x:tableColumns count="18">
    <x:tableColumn id="1" name="ID"/>
    <x:tableColumn id="2" name="Theme"/>
    <x:tableColumn id="3" name="Subtopic"/>
    <x:tableColumn id="4" name="Title"/>
    <x:tableColumn id="5" name="Author / Body"/>
    <x:tableColumn id="6" name="Year"/>
    <x:tableColumn id="7" name="Source Type"/>
    <x:tableColumn id="8" name="Status"/>
    <x:tableColumn id="9" name="What it covers"/>
    <x:tableColumn id="10" name="Why the reader benefits"/>
    <x:tableColumn id="11" name="Best use"/>
    <x:tableColumn id="12" name="2026 Relevance Score"/>
    <x:tableColumn id="13" name="Read Priority"/>
    <x:tableColumn id="14" name="Region / Scope"/>
    <x:tableColumn id="15" name="Key ethical question"/>
    <x:tableColumn id="16" name="Source URL"/>
    <x:tableColumn id="17" name="Notes / status"/>
    <x:tableColumn id="18" name="Reader mod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olicyRegTable" displayName="PolicyRegTable" ref="A3:R19" headerRowCount="1" totalsRowCount="0" totalsRowShown="0">
  <x:tableColumns count="18">
    <x:tableColumn id="1" name="ID"/>
    <x:tableColumn id="2" name="Theme"/>
    <x:tableColumn id="3" name="Subtopic"/>
    <x:tableColumn id="4" name="Title"/>
    <x:tableColumn id="5" name="Author / Body"/>
    <x:tableColumn id="6" name="Year"/>
    <x:tableColumn id="7" name="Source Type"/>
    <x:tableColumn id="8" name="Status"/>
    <x:tableColumn id="9" name="What it covers"/>
    <x:tableColumn id="10" name="Why the reader benefits"/>
    <x:tableColumn id="11" name="Best use"/>
    <x:tableColumn id="12" name="2026 Relevance Score"/>
    <x:tableColumn id="13" name="Read Priority"/>
    <x:tableColumn id="14" name="Region / Scope"/>
    <x:tableColumn id="15" name="Key ethical question"/>
    <x:tableColumn id="16" name="Source URL"/>
    <x:tableColumn id="17" name="Notes / status"/>
    <x:tableColumn id="18" name="Reader mod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UpdateLogTable" displayName="UpdateLogTable" ref="A3:I4" headerRowCount="1" totalsRowCount="0" totalsRowShown="0">
  <x:tableColumns count="9">
    <x:tableColumn id="1" name="Run time"/>
    <x:tableColumn id="2" name="Mode"/>
    <x:tableColumn id="3" name="Sources checked"/>
    <x:tableColumn id="4" name="Candidates fetched"/>
    <x:tableColumn id="5" name="New after dedupe"/>
    <x:tableColumn id="6" name="New This Week"/>
    <x:tableColumn id="7" name="Review Queue"/>
    <x:tableColumn id="8" name="Auto-promoted"/>
    <x:tableColumn id="9" name="Errors /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8791c9d271f4b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54eb46ef1e1e4569" /><Relationship Type="http://schemas.openxmlformats.org/officeDocument/2006/relationships/table" Target="/xl/tables/table2.xml" Id="Rf96bf57c6552447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3770d934977c4ea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5b4ab3ff5f9e4ae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cc4d03a80e834c1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b484d0ac94c0435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f63b53e1646b46b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597df254820e43b4" /></Relationships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8" hidden="0" customWidth="1"/>
    <x:col min="3" max="3" width="9" hidden="0" customWidth="1"/>
    <x:col min="4" max="4" width="35" hidden="0" customWidth="1"/>
    <x:col min="5" max="5" width="35" hidden="0" customWidth="1"/>
    <x:col min="6" max="6" width="22" hidden="0" customWidth="1"/>
    <x:col min="7" max="7" width="14" hidden="0" customWidth="1"/>
    <x:col min="8" max="8" width="12" hidden="0" customWidth="1"/>
  </x:cols>
  <x:sheetData>
    <x:row r="1" ht="32" customHeight="1">
      <x:c r="A1" s="5" t="str">
        <x:v>Ethics of AI / LLMs — 2026 Reader Start Page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Purpose: help a reader quickly understand the field, then move into 2026-specific risks. The full library includes official standards, regulation, peer-reviewed research and carefully flagged preprints.</x:v>
      </x:c>
      <x:c r="B2" s="13"/>
      <x:c r="C2" s="13"/>
      <x:c r="D2" s="13"/>
      <x:c r="E2" s="13"/>
      <x:c r="F2" s="13"/>
      <x:c r="G2" s="13"/>
      <x:c r="H2" s="13"/>
    </x:row>
    <x:row r="4">
      <x:c r="A4" s="40" t="str">
        <x:v>Total curated sources</x:v>
      </x:c>
      <x:c r="B4" s="40" t="str">
        <x:v>2026 sources</x:v>
      </x:c>
      <x:c r="C4" s="40" t="str">
        <x:v>2025 sources</x:v>
      </x:c>
      <x:c r="D4" s="40" t="str">
        <x:v>Must Read</x:v>
      </x:c>
      <x:c r="E4" s="40" t="str">
        <x:v>Official / institutional</x:v>
      </x:c>
    </x:row>
    <x:row r="5">
      <x:c r="A5" s="49" t="n">
        <x:f>COUNTA('2026 Reading Library'!D5:D38)</x:f>
        <x:v>34</x:v>
      </x:c>
      <x:c r="B5" s="49" t="n">
        <x:f>COUNTIF('2026 Reading Library'!F5:F38,2026)</x:f>
        <x:v>17</x:v>
      </x:c>
      <x:c r="C5" s="49" t="n">
        <x:f>COUNTIF('2026 Reading Library'!F5:F38,2025)</x:f>
        <x:v>8</x:v>
      </x:c>
      <x:c r="D5" s="49" t="n">
        <x:f>COUNTIF('2026 Reading Library'!M5:M38,"Must Read")</x:f>
        <x:v>17</x:v>
      </x:c>
      <x:c r="E5" s="49" t="n">
        <x:f>COUNTIF('2026 Reading Library'!H5:H38,"Official")+COUNTIF('2026 Reading Library'!H5:H38,"Official / legally binding framework")+COUNTIF('2026 Reading Library'!H5:H38,"Official / multi-stakeholder")+COUNTIF('2026 Reading Library'!H5:H38,"Official / expert collection")+COUNTIF('2026 Reading Library'!H5:H38,"Institutional / data-driven")</x:f>
        <x:v>12</x:v>
      </x:c>
    </x:row>
    <x:row r="7">
      <x:c r="A7" s="56" t="str">
        <x:v>What a 2026-aware ethics syllabus should add</x:v>
      </x:c>
      <x:c r="B7" s="56"/>
      <x:c r="C7" s="56"/>
      <x:c r="D7" s="56"/>
      <x:c r="E7" s="56"/>
      <x:c r="F7" s="56"/>
      <x:c r="G7" s="56"/>
      <x:c r="H7" s="56"/>
    </x:row>
    <x:row r="8">
      <x:c r="A8" s="22" t="str">
        <x:v>2026 issue</x:v>
      </x:c>
      <x:c r="B8" s="22"/>
      <x:c r="C8" s="22" t="str">
        <x:v>Why it matters now</x:v>
      </x:c>
      <x:c r="D8" s="22"/>
      <x:c r="E8" s="22" t="str">
        <x:v>Recommended first source</x:v>
      </x:c>
      <x:c r="F8" s="22"/>
      <x:c r="G8" s="22" t="str">
        <x:v>Use it to ask</x:v>
      </x:c>
      <x:c r="H8" s="22"/>
    </x:row>
    <x:row r="9" ht="62" customHeight="1">
      <x:c r="A9" s="30" t="str">
        <x:v>Agentic AI</x:v>
      </x:c>
      <x:c r="B9" s="30"/>
      <x:c r="C9" s="30" t="str">
        <x:v>LLMs now increasingly plan, call tools and take actions, so classic chatbot ethics is not enough.</x:v>
      </x:c>
      <x:c r="D9" s="30"/>
      <x:c r="E9" s="30" t="str">
        <x:v>Towards Agentic AI Governance (Raji &amp; Bashir, 2026)</x:v>
      </x:c>
      <x:c r="F9" s="30"/>
      <x:c r="G9" s="30" t="str">
        <x:v>Who is accountable when an agent autonomously takes an unsafe action?</x:v>
      </x:c>
      <x:c r="H9" s="30"/>
    </x:row>
    <x:row r="10" ht="62" customHeight="1">
      <x:c r="A10" s="30" t="str">
        <x:v>Persuasion &amp; manipulation</x:v>
      </x:c>
      <x:c r="B10" s="30"/>
      <x:c r="C10" s="30" t="str">
        <x:v>Personalized conversational systems can influence beliefs and behavior at scale.</x:v>
      </x:c>
      <x:c r="D10" s="30"/>
      <x:c r="E10" s="30" t="str">
        <x:v>Persuasion with Large Language Models: A Survey (2026)</x:v>
      </x:c>
      <x:c r="F10" s="30"/>
      <x:c r="G10" s="30" t="str">
        <x:v>Where is the boundary between useful persuasion and manipulation?</x:v>
      </x:c>
      <x:c r="H10" s="30"/>
    </x:row>
    <x:row r="11" ht="62" customHeight="1">
      <x:c r="A11" s="30" t="str">
        <x:v>Emotional dependence</x:v>
      </x:c>
      <x:c r="B11" s="30"/>
      <x:c r="C11" s="30" t="str">
        <x:v>Ethical risk can accumulate across repeated interactions even when each individual reply seems harmless.</x:v>
      </x:c>
      <x:c r="D11" s="30"/>
      <x:c r="E11" s="30" t="str">
        <x:v>Stumbling Into AI Emotional Dependence (2026)</x:v>
      </x:c>
      <x:c r="F11" s="30"/>
      <x:c r="G11" s="30" t="str">
        <x:v>Should general-purpose assistants be evaluated for long-term relational effects?</x:v>
      </x:c>
      <x:c r="H11" s="30"/>
    </x:row>
    <x:row r="12" ht="62" customHeight="1">
      <x:c r="A12" s="30" t="str">
        <x:v>AI companion design</x:v>
      </x:c>
      <x:c r="B12" s="30"/>
      <x:c r="C12" s="30" t="str">
        <x:v>Dark patterns, anthropomorphism and engagement incentives make product design part of AI ethics.</x:v>
      </x:c>
      <x:c r="D12" s="30"/>
      <x:c r="E12" s="30" t="str">
        <x:v>An Evaluation of AI Companion Apps (2026)</x:v>
      </x:c>
      <x:c r="F12" s="30"/>
      <x:c r="G12" s="30" t="str">
        <x:v>Can monetization incentives turn companionship into manipulation?</x:v>
      </x:c>
      <x:c r="H12" s="30"/>
    </x:row>
    <x:row r="13" ht="62" customHeight="1">
      <x:c r="A13" s="30" t="str">
        <x:v>Transparency enforcement</x:v>
      </x:c>
      <x:c r="B13" s="30"/>
      <x:c r="C13" s="30" t="str">
        <x:v>Transparency is no longer only a principle; EU disclosure rules apply in 2026.</x:v>
      </x:c>
      <x:c r="D13" s="30"/>
      <x:c r="E13" s="30" t="str">
        <x:v>EU Article 50 transparency guidelines (2026)</x:v>
      </x:c>
      <x:c r="F13" s="30"/>
      <x:c r="G13" s="30" t="str">
        <x:v>When should AI-generated content or AI interaction be explicitly disclosed?</x:v>
      </x:c>
      <x:c r="H13" s="30"/>
    </x:row>
    <x:row r="14" ht="62" customHeight="1">
      <x:c r="A14" s="30" t="str">
        <x:v>Privacy beyond training data</x:v>
      </x:c>
      <x:c r="B14" s="30"/>
      <x:c r="C14" s="30" t="str">
        <x:v>Persistent agents and memory introduce contextual privacy leakage in addition to classic training-data extraction.</x:v>
      </x:c>
      <x:c r="D14" s="30"/>
      <x:c r="E14" s="30" t="str">
        <x:v>Spore: Privacy Extraction Attack on LLM Agent Memory (2026)</x:v>
      </x:c>
      <x:c r="F14" s="30"/>
      <x:c r="G14" s="30" t="str">
        <x:v>What new duties arise when AI remembers user context over time?</x:v>
      </x:c>
      <x:c r="H14" s="30"/>
    </x:row>
    <x:row r="16">
      <x:c r="A16" s="56" t="str">
        <x:v>Recommended 10-source reading path</x:v>
      </x:c>
      <x:c r="B16" s="56"/>
      <x:c r="C16" s="56"/>
      <x:c r="D16" s="56"/>
      <x:c r="E16" s="56"/>
      <x:c r="F16" s="56"/>
      <x:c r="G16" s="56"/>
      <x:c r="H16" s="56"/>
    </x:row>
    <x:row r="17">
      <x:c r="A17" s="22" t="str">
        <x:v>Step</x:v>
      </x:c>
      <x:c r="B17" s="22" t="str">
        <x:v>Read this</x:v>
      </x:c>
      <x:c r="C17" s="22" t="str">
        <x:v>Year</x:v>
      </x:c>
      <x:c r="D17" s="22" t="str">
        <x:v>Why this comes here</x:v>
      </x:c>
      <x:c r="E17" s="22" t="str">
        <x:v>Reader outcome</x:v>
      </x:c>
      <x:c r="F17" s="22" t="str">
        <x:v>Theme</x:v>
      </x:c>
      <x:c r="G17" s="22" t="str">
        <x:v>Priority</x:v>
      </x:c>
      <x:c r="H17" s="22" t="str">
        <x:v>Library ID</x:v>
      </x:c>
    </x:row>
    <x:row r="18" ht="54" customHeight="1">
      <x:c r="A18" s="30" t="n">
        <x:v>1</x:v>
      </x:c>
      <x:c r="B18" s="30" t="str">
        <x:v>Recommendation on the Ethics of Artificial Intelligence</x:v>
      </x:c>
      <x:c r="C18" s="30" t="n">
        <x:v>2021</x:v>
      </x:c>
      <x:c r="D18" s="30" t="str">
        <x:v>Start with normative principles.</x:v>
      </x:c>
      <x:c r="E18" s="30" t="str">
        <x:v>Know the main ethical values and vocabulary.</x:v>
      </x:c>
      <x:c r="F18" s="30" t="str">
        <x:v>Foundations</x:v>
      </x:c>
      <x:c r="G18" s="30" t="str">
        <x:v>Must Read</x:v>
      </x:c>
      <x:c r="H18" s="30" t="n">
        <x:v>9</x:v>
      </x:c>
    </x:row>
    <x:row r="19" ht="54" customHeight="1">
      <x:c r="A19" s="30" t="n">
        <x:v>2</x:v>
      </x:c>
      <x:c r="B19" s="30" t="str">
        <x:v>Ethical and Social Risks of Harm from Language Models</x:v>
      </x:c>
      <x:c r="C19" s="30" t="n">
        <x:v>2022</x:v>
      </x:c>
      <x:c r="D19" s="30" t="str">
        <x:v>Move from principles to a concrete harm taxonomy.</x:v>
      </x:c>
      <x:c r="E19" s="30" t="str">
        <x:v>Understand major pathways of LLM harm.</x:v>
      </x:c>
      <x:c r="F19" s="30" t="str">
        <x:v>Foundations</x:v>
      </x:c>
      <x:c r="G19" s="30" t="str">
        <x:v>Must Read</x:v>
      </x:c>
      <x:c r="H19" s="30" t="n">
        <x:v>33</x:v>
      </x:c>
    </x:row>
    <x:row r="20" ht="54" customHeight="1">
      <x:c r="A20" s="30" t="n">
        <x:v>3</x:v>
      </x:c>
      <x:c r="B20" s="30" t="str">
        <x:v>NIST Generative AI Profile</x:v>
      </x:c>
      <x:c r="C20" s="30" t="n">
        <x:v>2024</x:v>
      </x:c>
      <x:c r="D20" s="30" t="str">
        <x:v>Translate ethics into operational risk management.</x:v>
      </x:c>
      <x:c r="E20" s="30" t="str">
        <x:v>See how organizations can Govern, Map, Measure and Manage risk.</x:v>
      </x:c>
      <x:c r="F20" s="30" t="str">
        <x:v>Governance</x:v>
      </x:c>
      <x:c r="G20" s="30" t="str">
        <x:v>Must Read</x:v>
      </x:c>
      <x:c r="H20" s="30" t="n">
        <x:v>8</x:v>
      </x:c>
    </x:row>
    <x:row r="21" ht="54" customHeight="1">
      <x:c r="A21" s="30" t="n">
        <x:v>4</x:v>
      </x:c>
      <x:c r="B21" s="30" t="str">
        <x:v>Deconstructing the ethics of large language models</x:v>
      </x:c>
      <x:c r="C21" s="30" t="n">
        <x:v>2025</x:v>
      </x:c>
      <x:c r="D21" s="30" t="str">
        <x:v>Get a modern overview of LLM-specific dilemmas.</x:v>
      </x:c>
      <x:c r="E21" s="30" t="str">
        <x:v>Connect classic issues with newer LLM problems.</x:v>
      </x:c>
      <x:c r="F21" s="30" t="str">
        <x:v>Ethics Surveys</x:v>
      </x:c>
      <x:c r="G21" s="30" t="str">
        <x:v>Must Read</x:v>
      </x:c>
      <x:c r="H21" s="30" t="n">
        <x:v>13</x:v>
      </x:c>
    </x:row>
    <x:row r="22" ht="54" customHeight="1">
      <x:c r="A22" s="30" t="n">
        <x:v>5</x:v>
      </x:c>
      <x:c r="B22" s="30" t="str">
        <x:v>Responsible AI | The 2026 AI Index Report</x:v>
      </x:c>
      <x:c r="C22" s="30" t="n">
        <x:v>2026</x:v>
      </x:c>
      <x:c r="D22" s="30" t="str">
        <x:v>Update the reader with the current evidence base.</x:v>
      </x:c>
      <x:c r="E22" s="30" t="str">
        <x:v>Know the 2026 state of incidents, evaluation and transparency.</x:v>
      </x:c>
      <x:c r="F22" s="30" t="str">
        <x:v>Measurement</x:v>
      </x:c>
      <x:c r="G22" s="30" t="str">
        <x:v>Must Read</x:v>
      </x:c>
      <x:c r="H22" s="30" t="n">
        <x:v>1</x:v>
      </x:c>
    </x:row>
    <x:row r="23" ht="54" customHeight="1">
      <x:c r="A23" s="30" t="n">
        <x:v>6</x:v>
      </x:c>
      <x:c r="B23" s="30" t="str">
        <x:v>The 2025 Foundation Model Transparency Index</x:v>
      </x:c>
      <x:c r="C23" s="30" t="n">
        <x:v>2025</x:v>
      </x:c>
      <x:c r="D23" s="30" t="str">
        <x:v>Study accountability using measurable disclosure criteria.</x:v>
      </x:c>
      <x:c r="E23" s="30" t="str">
        <x:v>Understand what model providers do and do not disclose.</x:v>
      </x:c>
      <x:c r="F23" s="30" t="str">
        <x:v>Transparency</x:v>
      </x:c>
      <x:c r="G23" s="30" t="str">
        <x:v>Must Read</x:v>
      </x:c>
      <x:c r="H23" s="30" t="n">
        <x:v>2</x:v>
      </x:c>
    </x:row>
    <x:row r="24" ht="54" customHeight="1">
      <x:c r="A24" s="30" t="n">
        <x:v>7</x:v>
      </x:c>
      <x:c r="B24" s="30" t="str">
        <x:v>Persuasion with Large Language Models: A Survey</x:v>
      </x:c>
      <x:c r="C24" s="30" t="n">
        <x:v>2026</x:v>
      </x:c>
      <x:c r="D24" s="30" t="str">
        <x:v>Enter a major new human-influence risk.</x:v>
      </x:c>
      <x:c r="E24" s="30" t="str">
        <x:v>Understand persuasive capability and manipulation concerns.</x:v>
      </x:c>
      <x:c r="F24" s="30" t="str">
        <x:v>Persuasion</x:v>
      </x:c>
      <x:c r="G24" s="30" t="str">
        <x:v>Must Read</x:v>
      </x:c>
      <x:c r="H24" s="30" t="n">
        <x:v>20</x:v>
      </x:c>
    </x:row>
    <x:row r="25" ht="54" customHeight="1">
      <x:c r="A25" s="30" t="n">
        <x:v>8</x:v>
      </x:c>
      <x:c r="B25" s="30" t="str">
        <x:v>Emotional Support with Conversational AI</x:v>
      </x:c>
      <x:c r="C25" s="30" t="n">
        <x:v>2026</x:v>
      </x:c>
      <x:c r="D25" s="30" t="str">
        <x:v>Study relational harms and benefits.</x:v>
      </x:c>
      <x:c r="E25" s="30" t="str">
        <x:v>See why companionship needs interaction-level ethics.</x:v>
      </x:c>
      <x:c r="F25" s="30" t="str">
        <x:v>Human-AI Relationships</x:v>
      </x:c>
      <x:c r="G25" s="30" t="str">
        <x:v>Must Read</x:v>
      </x:c>
      <x:c r="H25" s="30" t="n">
        <x:v>25</x:v>
      </x:c>
    </x:row>
    <x:row r="26" ht="54" customHeight="1">
      <x:c r="A26" s="30" t="n">
        <x:v>9</x:v>
      </x:c>
      <x:c r="B26" s="30" t="str">
        <x:v>Towards Agentic AI Governance</x:v>
      </x:c>
      <x:c r="C26" s="30" t="n">
        <x:v>2026</x:v>
      </x:c>
      <x:c r="D26" s="30" t="str">
        <x:v>Move from chatbots to systems that act.</x:v>
      </x:c>
      <x:c r="E26" s="30" t="str">
        <x:v>Understand why autonomy changes governance.</x:v>
      </x:c>
      <x:c r="F26" s="30" t="str">
        <x:v>Agentic AI</x:v>
      </x:c>
      <x:c r="G26" s="30" t="str">
        <x:v>Must Read</x:v>
      </x:c>
      <x:c r="H26" s="30" t="n">
        <x:v>29</x:v>
      </x:c>
    </x:row>
    <x:row r="27" ht="54" customHeight="1">
      <x:c r="A27" s="30" t="n">
        <x:v>10</x:v>
      </x:c>
      <x:c r="B27" s="30" t="str">
        <x:v>EU AI Act + Article 50 transparency guidance</x:v>
      </x:c>
      <x:c r="C27" s="30" t="n">
        <x:v>2026</x:v>
      </x:c>
      <x:c r="D27" s="30" t="str">
        <x:v>Finish with enforceable real-world obligations.</x:v>
      </x:c>
      <x:c r="E27" s="30" t="str">
        <x:v>Connect ethical principles to law and product requirements.</x:v>
      </x:c>
      <x:c r="F27" s="30" t="str">
        <x:v>Regulation</x:v>
      </x:c>
      <x:c r="G27" s="30" t="str">
        <x:v>Must Read</x:v>
      </x:c>
      <x:c r="H27" s="30" t="n">
        <x:v>3</x:v>
      </x:c>
    </x:row>
  </x:sheetData>
  <x:mergeCells>
    <x:mergeCell ref="A1:H1"/>
    <x:mergeCell ref="A2:H2"/>
    <x:mergeCell ref="A7:H7"/>
    <x:mergeCell ref="A8:B8"/>
    <x:mergeCell ref="C8:D8"/>
    <x:mergeCell ref="E8:F8"/>
    <x:mergeCell ref="G8:H8"/>
    <x:mergeCell ref="A9:B9"/>
    <x:mergeCell ref="C9:D9"/>
    <x:mergeCell ref="E9:F9"/>
    <x:mergeCell ref="G9:H9"/>
    <x:mergeCell ref="A10:B10"/>
    <x:mergeCell ref="C10:D10"/>
    <x:mergeCell ref="E10:F10"/>
    <x:mergeCell ref="G10:H10"/>
    <x:mergeCell ref="A11:B11"/>
    <x:mergeCell ref="C11:D11"/>
    <x:mergeCell ref="E11:F11"/>
    <x:mergeCell ref="G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4:B14"/>
    <x:mergeCell ref="C14:D14"/>
    <x:mergeCell ref="E14:F14"/>
    <x:mergeCell ref="G14:H14"/>
    <x:mergeCell ref="A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2" hidden="0" customWidth="1"/>
    <x:col min="3" max="3" width="24" hidden="0" customWidth="1"/>
    <x:col min="4" max="4" width="39" hidden="0" customWidth="1"/>
    <x:col min="5" max="5" width="22" hidden="0" customWidth="1"/>
    <x:col min="6" max="6" width="9" hidden="0" customWidth="1"/>
    <x:col min="7" max="7" width="22" hidden="0" customWidth="1"/>
    <x:col min="8" max="8" width="20" hidden="0" customWidth="1"/>
    <x:col min="9" max="9" width="38" hidden="0" customWidth="1"/>
    <x:col min="10" max="10" width="38" hidden="0" customWidth="1"/>
    <x:col min="11" max="11" width="28" hidden="0" customWidth="1"/>
    <x:col min="12" max="12" width="12" hidden="0" customWidth="1"/>
    <x:col min="13" max="13" width="14" hidden="0" customWidth="1"/>
    <x:col min="14" max="14" width="20" hidden="0" customWidth="1"/>
    <x:col min="15" max="15" width="38" hidden="0" customWidth="1"/>
    <x:col min="16" max="16" width="42" hidden="0" customWidth="1"/>
    <x:col min="17" max="17" width="28" hidden="0" customWidth="1"/>
    <x:col min="18" max="18" width="18" hidden="0" customWidth="1"/>
  </x:cols>
  <x:sheetData>
    <x:row r="1" ht="30" customHeight="1">
      <x:c r="A1" s="5" t="str">
        <x:v>Ethics of Artificial Intelligence &amp; LLMs — 2026 Curated Reading Library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</x:row>
    <x:row r="2" ht="28" customHeight="1">
      <x:c r="A2" s="13" t="str">
        <x:v>Verified against current web sources on 16 Aug 2026. 2026 papers marked as preprints/current research should be re-checked before formal citation.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</x:row>
    <x:row r="4" ht="38" customHeight="1">
      <x:c r="A4" s="22" t="str">
        <x:v>ID</x:v>
      </x:c>
      <x:c r="B4" s="22" t="str">
        <x:v>Theme</x:v>
      </x:c>
      <x:c r="C4" s="22" t="str">
        <x:v>Subtopic</x:v>
      </x:c>
      <x:c r="D4" s="22" t="str">
        <x:v>Title</x:v>
      </x:c>
      <x:c r="E4" s="22" t="str">
        <x:v>Author / Body</x:v>
      </x:c>
      <x:c r="F4" s="22" t="str">
        <x:v>Year</x:v>
      </x:c>
      <x:c r="G4" s="22" t="str">
        <x:v>Source Type</x:v>
      </x:c>
      <x:c r="H4" s="22" t="str">
        <x:v>Status</x:v>
      </x:c>
      <x:c r="I4" s="22" t="str">
        <x:v>What it covers</x:v>
      </x:c>
      <x:c r="J4" s="22" t="str">
        <x:v>Why the reader benefits</x:v>
      </x:c>
      <x:c r="K4" s="22" t="str">
        <x:v>Best use</x:v>
      </x:c>
      <x:c r="L4" s="22" t="str">
        <x:v>2026 Relevance Score</x:v>
      </x:c>
      <x:c r="M4" s="22" t="str">
        <x:v>Read Priority</x:v>
      </x:c>
      <x:c r="N4" s="22" t="str">
        <x:v>Region / Scope</x:v>
      </x:c>
      <x:c r="O4" s="22" t="str">
        <x:v>Key ethical question</x:v>
      </x:c>
      <x:c r="P4" s="22" t="str">
        <x:v>Source URL</x:v>
      </x:c>
      <x:c r="Q4" s="22" t="str">
        <x:v>Notes / status</x:v>
      </x:c>
      <x:c r="R4" s="22" t="str">
        <x:v>Reader mode</x:v>
      </x:c>
    </x:row>
    <x:row r="5" ht="78" customHeight="1">
      <x:c r="A5" s="32" t="n">
        <x:v>1</x:v>
      </x:c>
      <x:c r="B5" s="32" t="str">
        <x:v>Governance &amp; Measurement</x:v>
      </x:c>
      <x:c r="C5" s="32" t="str">
        <x:v>Responsible AI state of the field</x:v>
      </x:c>
      <x:c r="D5" s="32" t="str">
        <x:v>Responsible AI | The 2026 AI Index Report</x:v>
      </x:c>
      <x:c r="E5" s="32" t="str">
        <x:v>Stanford HAI / AI Index</x:v>
      </x:c>
      <x:c r="F5" s="34" t="n">
        <x:v>2026</x:v>
      </x:c>
      <x:c r="G5" s="32" t="str">
        <x:v>Annual evidence report</x:v>
      </x:c>
      <x:c r="H5" s="32" t="str">
        <x:v>Institutional / data-driven</x:v>
      </x:c>
      <x:c r="I5" s="32" t="str">
        <x:v>Tracks AI incidents, safety evaluation, transparency, responsible-AI reporting, and the widening gap between capability and governance.</x:v>
      </x:c>
      <x:c r="J5" s="32" t="str">
        <x:v>Best current snapshot for showing that AI capability is advancing faster than safety measurement and transparency.</x:v>
      </x:c>
      <x:c r="K5" s="32" t="str">
        <x:v>Lecture opener; literature review motivation; 2026 statistics</x:v>
      </x:c>
      <x:c r="L5" s="34" t="n">
        <x:f>MIN(5,IF(F5=2026,5,IF(F5=2025,4,IF(M5="Must Read",4,3))))</x:f>
        <x:v>5</x:v>
      </x:c>
      <x:c r="M5" s="34" t="str">
        <x:v>Must Read</x:v>
      </x:c>
      <x:c r="N5" s="32" t="str">
        <x:v>Global</x:v>
      </x:c>
      <x:c r="O5" s="32" t="str">
        <x:v>Are current evaluation and governance systems keeping pace with frontier AI capability?</x:v>
      </x:c>
      <x:c r="P5" s="32" t="str">
        <x:v>https://hai.stanford.edu/ai-index/2026-ai-index-report/responsible-ai</x:v>
      </x:c>
      <x:c r="Q5" s="32" t="str">
        <x:v>2026 edition; strong source for current facts and figures.</x:v>
      </x:c>
      <x:c r="R5" s="34" t="str">
        <x:f>IF(M5="Must Read","Read closely",IF(M5="Strong","Read/skim","Reference as needed"))</x:f>
        <x:v>Read closely</x:v>
      </x:c>
    </x:row>
    <x:row r="6" ht="78" customHeight="1">
      <x:c r="A6" s="32" t="n">
        <x:v>2</x:v>
      </x:c>
      <x:c r="B6" s="32" t="str">
        <x:v>Transparency &amp; Accountability</x:v>
      </x:c>
      <x:c r="C6" s="32" t="str">
        <x:v>Foundation model transparency</x:v>
      </x:c>
      <x:c r="D6" s="32" t="str">
        <x:v>The 2025 Foundation Model Transparency Index</x:v>
      </x:c>
      <x:c r="E6" s="32" t="str">
        <x:v>Wan et al. / Stanford CRFM</x:v>
      </x:c>
      <x:c r="F6" s="34" t="n">
        <x:v>2025</x:v>
      </x:c>
      <x:c r="G6" s="32" t="str">
        <x:v>Research report / index</x:v>
      </x:c>
      <x:c r="H6" s="32" t="str">
        <x:v>Research report</x:v>
      </x:c>
      <x:c r="I6" s="32" t="str">
        <x:v>Scores major foundation-model developers on disclosures covering data, compute, risk mitigation, usage and downstream impacts.</x:v>
      </x:c>
      <x:c r="J6" s="32" t="str">
        <x:v>Lets readers move from vague calls for transparency to measurable disclosure dimensions and compare developers.</x:v>
      </x:c>
      <x:c r="K6" s="32" t="str">
        <x:v>Transparency section; accountability case study; assignment</x:v>
      </x:c>
      <x:c r="L6" s="34" t="n">
        <x:f>MIN(5,IF(F6=2026,5,IF(F6=2025,4,IF(M6="Must Read",4,3))))</x:f>
        <x:v>4</x:v>
      </x:c>
      <x:c r="M6" s="34" t="str">
        <x:v>Must Read</x:v>
      </x:c>
      <x:c r="N6" s="32" t="str">
        <x:v>Global / industry</x:v>
      </x:c>
      <x:c r="O6" s="32" t="str">
        <x:v>What information should frontier-model developers be required to disclose?</x:v>
      </x:c>
      <x:c r="P6" s="32" t="str">
        <x:v>https://arxiv.org/abs/2512.10169</x:v>
      </x:c>
      <x:c r="Q6" s="32" t="str">
        <x:v>Average score fell from 58/100 in 2024 to 40/100 in 2025.</x:v>
      </x:c>
      <x:c r="R6" s="34" t="str">
        <x:f>IF(M6="Must Read","Read closely",IF(M6="Strong","Read/skim","Reference as needed"))</x:f>
        <x:v>Read closely</x:v>
      </x:c>
    </x:row>
    <x:row r="7" ht="78" customHeight="1">
      <x:c r="A7" s="32" t="n">
        <x:v>3</x:v>
      </x:c>
      <x:c r="B7" s="32" t="str">
        <x:v>Regulation</x:v>
      </x:c>
      <x:c r="C7" s="32" t="str">
        <x:v>EU AI Act implementation</x:v>
      </x:c>
      <x:c r="D7" s="32" t="str">
        <x:v>AI Act | Shaping Europe's digital future</x:v>
      </x:c>
      <x:c r="E7" s="32" t="str">
        <x:v>European Commission</x:v>
      </x:c>
      <x:c r="F7" s="34" t="n">
        <x:v>2026</x:v>
      </x:c>
      <x:c r="G7" s="32" t="str">
        <x:v>Regulation / official guidance</x:v>
      </x:c>
      <x:c r="H7" s="32" t="str">
        <x:v>Official</x:v>
      </x:c>
      <x:c r="I7" s="32" t="str">
        <x:v>Official overview of the EU AI Act, risk-based obligations, implementation timeline, GPAI rules and transparency requirements.</x:v>
      </x:c>
      <x:c r="J7" s="32" t="str">
        <x:v>Provides the clearest bridge between ethics principles and enforceable legal duties in 2026.</x:v>
      </x:c>
      <x:c r="K7" s="32" t="str">
        <x:v>Regulation module; compliance discussion; policy comparison</x:v>
      </x:c>
      <x:c r="L7" s="34" t="n">
        <x:f>MIN(5,IF(F7=2026,5,IF(F7=2025,4,IF(M7="Must Read",4,3))))</x:f>
        <x:v>5</x:v>
      </x:c>
      <x:c r="M7" s="34" t="str">
        <x:v>Must Read</x:v>
      </x:c>
      <x:c r="N7" s="32" t="str">
        <x:v>European Union</x:v>
      </x:c>
      <x:c r="O7" s="32" t="str">
        <x:v>When should ethical expectations become legal obligations?</x:v>
      </x:c>
      <x:c r="P7" s="32" t="str">
        <x:v>https://digital-strategy.ec.europa.eu/en/policies/regulatory-framework-ai</x:v>
      </x:c>
      <x:c r="Q7" s="32" t="str">
        <x:v>General application date: 2 August 2026, with exceptions and phased provisions.</x:v>
      </x:c>
      <x:c r="R7" s="34" t="str">
        <x:f>IF(M7="Must Read","Read closely",IF(M7="Strong","Read/skim","Reference as needed"))</x:f>
        <x:v>Read closely</x:v>
      </x:c>
    </x:row>
    <x:row r="8" ht="78" customHeight="1">
      <x:c r="A8" s="32" t="n">
        <x:v>4</x:v>
      </x:c>
      <x:c r="B8" s="32" t="str">
        <x:v>Transparency &amp; Accountability</x:v>
      </x:c>
      <x:c r="C8" s="32" t="str">
        <x:v>AI-generated content disclosure</x:v>
      </x:c>
      <x:c r="D8" s="32" t="str">
        <x:v>Guidelines on transparency obligations for providers and deployers of AI systems</x:v>
      </x:c>
      <x:c r="E8" s="32" t="str">
        <x:v>European Commission</x:v>
      </x:c>
      <x:c r="F8" s="34" t="n">
        <x:v>2026</x:v>
      </x:c>
      <x:c r="G8" s="32" t="str">
        <x:v>Regulatory guidance</x:v>
      </x:c>
      <x:c r="H8" s="32" t="str">
        <x:v>Official</x:v>
      </x:c>
      <x:c r="I8" s="32" t="str">
        <x:v>Explains Article 50 duties concerning user disclosure, machine-readable marking, AI-generated content and deepfakes.</x:v>
      </x:c>
      <x:c r="J8" s="32" t="str">
        <x:v>Useful concrete example of how transparency ethics becomes a product-design requirement.</x:v>
      </x:c>
      <x:c r="K8" s="32" t="str">
        <x:v>Deepfakes; disclosure; generative-AI product design</x:v>
      </x:c>
      <x:c r="L8" s="34" t="n">
        <x:f>MIN(5,IF(F8=2026,5,IF(F8=2025,4,IF(M8="Must Read",4,3))))</x:f>
        <x:v>5</x:v>
      </x:c>
      <x:c r="M8" s="34" t="str">
        <x:v>Must Read</x:v>
      </x:c>
      <x:c r="N8" s="32" t="str">
        <x:v>European Union</x:v>
      </x:c>
      <x:c r="O8" s="32" t="str">
        <x:v>Should people always know when they are interacting with AI or seeing AI-generated content?</x:v>
      </x:c>
      <x:c r="P8" s="32" t="str">
        <x:v>https://digital-strategy.ec.europa.eu/en/policies/guidelines-transparency-ai-generated-content</x:v>
      </x:c>
      <x:c r="Q8" s="32" t="str">
        <x:v>Article 50 applies from 2 August 2026.</x:v>
      </x:c>
      <x:c r="R8" s="34" t="str">
        <x:f>IF(M8="Must Read","Read closely",IF(M8="Strong","Read/skim","Reference as needed"))</x:f>
        <x:v>Read closely</x:v>
      </x:c>
    </x:row>
    <x:row r="9" ht="78" customHeight="1">
      <x:c r="A9" s="32" t="n">
        <x:v>5</x:v>
      </x:c>
      <x:c r="B9" s="32" t="str">
        <x:v>Governance &amp; Measurement</x:v>
      </x:c>
      <x:c r="C9" s="32" t="str">
        <x:v>General-purpose AI obligations</x:v>
      </x:c>
      <x:c r="D9" s="32" t="str">
        <x:v>Guidelines for providers of general-purpose AI models</x:v>
      </x:c>
      <x:c r="E9" s="32" t="str">
        <x:v>European Commission</x:v>
      </x:c>
      <x:c r="F9" s="34" t="n">
        <x:v>2026</x:v>
      </x:c>
      <x:c r="G9" s="32" t="str">
        <x:v>Regulatory guidance</x:v>
      </x:c>
      <x:c r="H9" s="32" t="str">
        <x:v>Official</x:v>
      </x:c>
      <x:c r="I9" s="32" t="str">
        <x:v>Clarifies obligations for providers of general-purpose AI models and the Commission's enforcement role.</x:v>
      </x:c>
      <x:c r="J9" s="32" t="str">
        <x:v>Gives readers a current compliance perspective on frontier and general-purpose models rather than generic AI regulation.</x:v>
      </x:c>
      <x:c r="K9" s="32" t="str">
        <x:v>GPAI governance; provider responsibilities; seminar discussion</x:v>
      </x:c>
      <x:c r="L9" s="34" t="n">
        <x:f>MIN(5,IF(F9=2026,5,IF(F9=2025,4,IF(M9="Must Read",4,3))))</x:f>
        <x:v>5</x:v>
      </x:c>
      <x:c r="M9" s="34" t="str">
        <x:v>Strong</x:v>
      </x:c>
      <x:c r="N9" s="32" t="str">
        <x:v>European Union</x:v>
      </x:c>
      <x:c r="O9" s="32" t="str">
        <x:v>What extra duties should apply to powerful general-purpose models?</x:v>
      </x:c>
      <x:c r="P9" s="32" t="str">
        <x:v>https://digital-strategy.ec.europa.eu/en/policies/guidelines-gpai-providers</x:v>
      </x:c>
      <x:c r="Q9" s="32" t="str">
        <x:v>Commission enforcement powers apply from 2 August 2026.</x:v>
      </x:c>
      <x:c r="R9" s="34" t="str">
        <x:f>IF(M9="Must Read","Read closely",IF(M9="Strong","Read/skim","Reference as needed"))</x:f>
        <x:v>Read/skim</x:v>
      </x:c>
    </x:row>
    <x:row r="10" ht="78" customHeight="1">
      <x:c r="A10" s="32" t="n">
        <x:v>6</x:v>
      </x:c>
      <x:c r="B10" s="32" t="str">
        <x:v>India &amp; Global South</x:v>
      </x:c>
      <x:c r="C10" s="32" t="str">
        <x:v>India AI governance</x:v>
      </x:c>
      <x:c r="D10" s="32" t="str">
        <x:v>India AI Governance Guidelines: Empowering Ethical and Responsible AI</x:v>
      </x:c>
      <x:c r="E10" s="32" t="str">
        <x:v>IndiaAI / MeitY</x:v>
      </x:c>
      <x:c r="F10" s="34" t="n">
        <x:v>2025</x:v>
      </x:c>
      <x:c r="G10" s="32" t="str">
        <x:v>National governance guidance</x:v>
      </x:c>
      <x:c r="H10" s="32" t="str">
        <x:v>Official</x:v>
      </x:c>
      <x:c r="I10" s="32" t="str">
        <x:v>Sets out principles and recommendations around fairness, accountability, safety, inclusivity and trustworthy AI in India.</x:v>
      </x:c>
      <x:c r="J10" s="32" t="str">
        <x:v>Adds an India-specific governance perspective and prevents the reading list from being US/EU-centric.</x:v>
      </x:c>
      <x:c r="K10" s="32" t="str">
        <x:v>India case study; policy comparison; local context</x:v>
      </x:c>
      <x:c r="L10" s="34" t="n">
        <x:f>MIN(5,IF(F10=2026,5,IF(F10=2025,4,IF(M10="Must Read",4,3))))</x:f>
        <x:v>4</x:v>
      </x:c>
      <x:c r="M10" s="34" t="str">
        <x:v>Must Read</x:v>
      </x:c>
      <x:c r="N10" s="32" t="str">
        <x:v>India</x:v>
      </x:c>
      <x:c r="O10" s="32" t="str">
        <x:v>How should responsible AI governance reflect India's scale, diversity and public-interest priorities?</x:v>
      </x:c>
      <x:c r="P10" s="32" t="str">
        <x:v>https://indiaai.gov.in/article/india-ai-governance-guidelines-empowering-ethical-and-responsible-ai</x:v>
      </x:c>
      <x:c r="Q10" s="32" t="str">
        <x:v>Released 5 Nov 2025 under the IndiaAI Mission.</x:v>
      </x:c>
      <x:c r="R10" s="34" t="str">
        <x:f>IF(M10="Must Read","Read closely",IF(M10="Strong","Read/skim","Reference as needed"))</x:f>
        <x:v>Read closely</x:v>
      </x:c>
    </x:row>
    <x:row r="11" ht="78" customHeight="1">
      <x:c r="A11" s="32" t="n">
        <x:v>7</x:v>
      </x:c>
      <x:c r="B11" s="32" t="str">
        <x:v>India &amp; Global South</x:v>
      </x:c>
      <x:c r="C11" s="32" t="str">
        <x:v>AI safety capacity</x:v>
      </x:c>
      <x:c r="D11" s="32" t="str">
        <x:v>Safe &amp; Trusted AI Working Group</x:v>
      </x:c>
      <x:c r="E11" s="32" t="str">
        <x:v>India AI Impact Summit</x:v>
      </x:c>
      <x:c r="F11" s="34" t="n">
        <x:v>2026</x:v>
      </x:c>
      <x:c r="G11" s="32" t="str">
        <x:v>Policy / working-group output</x:v>
      </x:c>
      <x:c r="H11" s="32" t="str">
        <x:v>Official</x:v>
      </x:c>
      <x:c r="I11" s="32" t="str">
        <x:v>Focuses on AI safety capacity, evaluation, governance and incorporating Global South perspectives into international AI safety frameworks.</x:v>
      </x:c>
      <x:c r="J11" s="32" t="str">
        <x:v>Useful for understanding how safety debates are being localized beyond US/EU institutions.</x:v>
      </x:c>
      <x:c r="K11" s="32" t="str">
        <x:v>India 2026 update; global governance; discussion prompt</x:v>
      </x:c>
      <x:c r="L11" s="34" t="n">
        <x:f>MIN(5,IF(F11=2026,5,IF(F11=2025,4,IF(M11="Must Read",4,3))))</x:f>
        <x:v>5</x:v>
      </x:c>
      <x:c r="M11" s="34" t="str">
        <x:v>Strong</x:v>
      </x:c>
      <x:c r="N11" s="32" t="str">
        <x:v>India / Global South</x:v>
      </x:c>
      <x:c r="O11" s="32" t="str">
        <x:v>Who gets to define acceptable AI risk and safety standards globally?</x:v>
      </x:c>
      <x:c r="P11" s="32" t="str">
        <x:v>https://impact.indiaai.gov.in/working-groups/safe-trusted-ai</x:v>
      </x:c>
      <x:c r="Q11" s="32" t="str">
        <x:v>2026-relevant IndiaAI Impact Summit initiative.</x:v>
      </x:c>
      <x:c r="R11" s="34" t="str">
        <x:f>IF(M11="Must Read","Read closely",IF(M11="Strong","Read/skim","Reference as needed"))</x:f>
        <x:v>Read/skim</x:v>
      </x:c>
    </x:row>
    <x:row r="12" ht="78" customHeight="1">
      <x:c r="A12" s="32" t="n">
        <x:v>8</x:v>
      </x:c>
      <x:c r="B12" s="32" t="str">
        <x:v>Governance &amp; Measurement</x:v>
      </x:c>
      <x:c r="C12" s="32" t="str">
        <x:v>Risk management framework</x:v>
      </x:c>
      <x:c r="D12" s="32" t="str">
        <x:v>Artificial Intelligence Risk Management Framework: Generative Artificial Intelligence Profile (NIST AI 600-1)</x:v>
      </x:c>
      <x:c r="E12" s="32" t="str">
        <x:v>NIST</x:v>
      </x:c>
      <x:c r="F12" s="34" t="n">
        <x:v>2024</x:v>
      </x:c>
      <x:c r="G12" s="32" t="str">
        <x:v>Risk-management framework</x:v>
      </x:c>
      <x:c r="H12" s="32" t="str">
        <x:v>Official</x:v>
      </x:c>
      <x:c r="I12" s="32" t="str">
        <x:v>Identifies GenAI-specific risks and actions across the AI lifecycle, aligned with Govern, Map, Measure and Manage.</x:v>
      </x:c>
      <x:c r="J12" s="32" t="str">
        <x:v>One of the most practical sources for converting ethical concerns into operational risk controls.</x:v>
      </x:c>
      <x:c r="K12" s="32" t="str">
        <x:v>Risk register; deployment checklist; governance design</x:v>
      </x:c>
      <x:c r="L12" s="34" t="n">
        <x:f>MIN(5,IF(F12=2026,5,IF(F12=2025,4,IF(M12="Must Read",4,3))))</x:f>
        <x:v>4</x:v>
      </x:c>
      <x:c r="M12" s="34" t="str">
        <x:v>Must Read</x:v>
      </x:c>
      <x:c r="N12" s="32" t="str">
        <x:v>United States / cross-sector</x:v>
      </x:c>
      <x:c r="O12" s="32" t="str">
        <x:v>How can an organization operationalize trustworthy GenAI rather than merely state principles?</x:v>
      </x:c>
      <x:c r="P12" s="32" t="str">
        <x:v>https://www.nist.gov/publications/artificial-intelligence-risk-management-framework-generative-artificial-intelligence</x:v>
      </x:c>
      <x:c r="Q12" s="32" t="str">
        <x:v>Companion to NIST AI RMF 1.0.</x:v>
      </x:c>
      <x:c r="R12" s="34" t="str">
        <x:f>IF(M12="Must Read","Read closely",IF(M12="Strong","Read/skim","Reference as needed"))</x:f>
        <x:v>Read closely</x:v>
      </x:c>
    </x:row>
    <x:row r="13" ht="78" customHeight="1">
      <x:c r="A13" s="32" t="n">
        <x:v>9</x:v>
      </x:c>
      <x:c r="B13" s="32" t="str">
        <x:v>Foundations</x:v>
      </x:c>
      <x:c r="C13" s="32" t="str">
        <x:v>Human-rights-centered AI ethics</x:v>
      </x:c>
      <x:c r="D13" s="32" t="str">
        <x:v>Recommendation on the Ethics of Artificial Intelligence</x:v>
      </x:c>
      <x:c r="E13" s="32" t="str">
        <x:v>UNESCO</x:v>
      </x:c>
      <x:c r="F13" s="34" t="n">
        <x:v>2021</x:v>
      </x:c>
      <x:c r="G13" s="32" t="str">
        <x:v>International ethics standard</x:v>
      </x:c>
      <x:c r="H13" s="32" t="str">
        <x:v>Official</x:v>
      </x:c>
      <x:c r="I13" s="32" t="str">
        <x:v>Defines principles including proportionality, do-no-harm, safety, privacy, fairness, transparency, accountability, sustainability and human oversight.</x:v>
      </x:c>
      <x:c r="J13" s="32" t="str">
        <x:v>Provides a normative foundation for almost every later AI ethics topic.</x:v>
      </x:c>
      <x:c r="K13" s="32" t="str">
        <x:v>Foundations lecture; ethics framework; compare policies</x:v>
      </x:c>
      <x:c r="L13" s="34" t="n">
        <x:f>MIN(5,IF(F13=2026,5,IF(F13=2025,4,IF(M13="Must Read",4,3))))</x:f>
        <x:v>4</x:v>
      </x:c>
      <x:c r="M13" s="34" t="str">
        <x:v>Must Read</x:v>
      </x:c>
      <x:c r="N13" s="32" t="str">
        <x:v>Global</x:v>
      </x:c>
      <x:c r="O13" s="32" t="str">
        <x:v>What values should guide the design and deployment of AI systems?</x:v>
      </x:c>
      <x:c r="P13" s="32" t="str">
        <x:v>https://www.unesco.org/en/artificial-intelligence/recommendation-ethics</x:v>
      </x:c>
      <x:c r="Q13" s="32" t="str">
        <x:v>Global UNESCO recommendation; remains foundational in 2026.</x:v>
      </x:c>
      <x:c r="R13" s="34" t="str">
        <x:f>IF(M13="Must Read","Read closely",IF(M13="Strong","Read/skim","Reference as needed"))</x:f>
        <x:v>Read closely</x:v>
      </x:c>
    </x:row>
    <x:row r="14" ht="78" customHeight="1">
      <x:c r="A14" s="32" t="n">
        <x:v>10</x:v>
      </x:c>
      <x:c r="B14" s="32" t="str">
        <x:v>Foundations</x:v>
      </x:c>
      <x:c r="C14" s="32" t="str">
        <x:v>Trustworthy AI principles</x:v>
      </x:c>
      <x:c r="D14" s="32" t="str">
        <x:v>OECD AI Principles</x:v>
      </x:c>
      <x:c r="E14" s="32" t="str">
        <x:v>OECD</x:v>
      </x:c>
      <x:c r="F14" s="34" t="n">
        <x:v>2024</x:v>
      </x:c>
      <x:c r="G14" s="32" t="str">
        <x:v>International policy principles</x:v>
      </x:c>
      <x:c r="H14" s="32" t="str">
        <x:v>Official</x:v>
      </x:c>
      <x:c r="I14" s="32" t="str">
        <x:v>Principles for innovative and trustworthy AI, covering human rights, fairness, transparency, robustness, security and accountability.</x:v>
      </x:c>
      <x:c r="J14" s="32" t="str">
        <x:v>Concise policy baseline that is easy to compare against NIST, UNESCO, EU and national frameworks.</x:v>
      </x:c>
      <x:c r="K14" s="32" t="str">
        <x:v>Framework comparison; policy lecture; exam preparation</x:v>
      </x:c>
      <x:c r="L14" s="34" t="n">
        <x:f>MIN(5,IF(F14=2026,5,IF(F14=2025,4,IF(M14="Must Read",4,3))))</x:f>
        <x:v>3</x:v>
      </x:c>
      <x:c r="M14" s="34" t="str">
        <x:v>Strong</x:v>
      </x:c>
      <x:c r="N14" s="32" t="str">
        <x:v>Global</x:v>
      </x:c>
      <x:c r="O14" s="32" t="str">
        <x:v>What minimum principles should trustworthy AI systems satisfy across countries?</x:v>
      </x:c>
      <x:c r="P14" s="32" t="str">
        <x:v>https://oecd.ai/en/ai-principles</x:v>
      </x:c>
      <x:c r="Q14" s="32" t="str">
        <x:v>Initially adopted 2019; updated May 2024.</x:v>
      </x:c>
      <x:c r="R14" s="34" t="str">
        <x:f>IF(M14="Must Read","Read closely",IF(M14="Strong","Read/skim","Reference as needed"))</x:f>
        <x:v>Read/skim</x:v>
      </x:c>
    </x:row>
    <x:row r="15" ht="78" customHeight="1">
      <x:c r="A15" s="32" t="n">
        <x:v>11</x:v>
      </x:c>
      <x:c r="B15" s="32" t="str">
        <x:v>Human Rights</x:v>
      </x:c>
      <x:c r="C15" s="32" t="str">
        <x:v>International AI treaty</x:v>
      </x:c>
      <x:c r="D15" s="32" t="str">
        <x:v>Framework Convention on Artificial Intelligence and Human Rights, Democracy and the Rule of Law</x:v>
      </x:c>
      <x:c r="E15" s="32" t="str">
        <x:v>Council of Europe</x:v>
      </x:c>
      <x:c r="F15" s="34" t="n">
        <x:v>2024</x:v>
      </x:c>
      <x:c r="G15" s="32" t="str">
        <x:v>International treaty</x:v>
      </x:c>
      <x:c r="H15" s="32" t="str">
        <x:v>Official / legally binding framework</x:v>
      </x:c>
      <x:c r="I15" s="32" t="str">
        <x:v>Addresses human rights, democratic processes, autonomy, transparency, accountability, equality and privacy across the AI lifecycle.</x:v>
      </x:c>
      <x:c r="J15" s="32" t="str">
        <x:v>Shows the transition from voluntary ethics to treaty-based human-rights obligations.</x:v>
      </x:c>
      <x:c r="K15" s="32" t="str">
        <x:v>Human-rights module; legal governance; global policy</x:v>
      </x:c>
      <x:c r="L15" s="34" t="n">
        <x:f>MIN(5,IF(F15=2026,5,IF(F15=2025,4,IF(M15="Must Read",4,3))))</x:f>
        <x:v>3</x:v>
      </x:c>
      <x:c r="M15" s="34" t="str">
        <x:v>Strong</x:v>
      </x:c>
      <x:c r="N15" s="32" t="str">
        <x:v>International</x:v>
      </x:c>
      <x:c r="O15" s="32" t="str">
        <x:v>How should AI development be constrained when it may affect fundamental rights and democratic institutions?</x:v>
      </x:c>
      <x:c r="P15" s="32" t="str">
        <x:v>https://www.coe.int/en/web/artificial-intelligence/the-framework-convention-on-artificial-intelligence</x:v>
      </x:c>
      <x:c r="Q15" s="32" t="str">
        <x:v>First international legally binding treaty in this field; opened for signature 5 Sept 2024.</x:v>
      </x:c>
      <x:c r="R15" s="34" t="str">
        <x:f>IF(M15="Must Read","Read closely",IF(M15="Strong","Read/skim","Reference as needed"))</x:f>
        <x:v>Read/skim</x:v>
      </x:c>
    </x:row>
    <x:row r="16" ht="78" customHeight="1">
      <x:c r="A16" s="32" t="n">
        <x:v>12</x:v>
      </x:c>
      <x:c r="B16" s="32" t="str">
        <x:v>Governance &amp; Measurement</x:v>
      </x:c>
      <x:c r="C16" s="32" t="str">
        <x:v>Developer risk reporting</x:v>
      </x:c>
      <x:c r="D16" s="32" t="str">
        <x:v>How are AI developers managing risks? Insights from the Hiroshima AI Process reporting framework</x:v>
      </x:c>
      <x:c r="E16" s="32" t="str">
        <x:v>OECD</x:v>
      </x:c>
      <x:c r="F16" s="34" t="n">
        <x:v>2025</x:v>
      </x:c>
      <x:c r="G16" s="32" t="str">
        <x:v>International governance report</x:v>
      </x:c>
      <x:c r="H16" s="32" t="str">
        <x:v>Official / multi-stakeholder</x:v>
      </x:c>
      <x:c r="I16" s="32" t="str">
        <x:v>Analyzes how organizations report risk identification, safety, governance, content authentication and accountability practices.</x:v>
      </x:c>
      <x:c r="J16" s="32" t="str">
        <x:v>Gives concrete examples of how frontier developers operationalize risk management, not just what principles say.</x:v>
      </x:c>
      <x:c r="K16" s="32" t="str">
        <x:v>Industry governance; transparency; comparative analysis</x:v>
      </x:c>
      <x:c r="L16" s="34" t="n">
        <x:f>MIN(5,IF(F16=2026,5,IF(F16=2025,4,IF(M16="Must Read",4,3))))</x:f>
        <x:v>4</x:v>
      </x:c>
      <x:c r="M16" s="34" t="str">
        <x:v>Strong</x:v>
      </x:c>
      <x:c r="N16" s="32" t="str">
        <x:v>G7 / global</x:v>
      </x:c>
      <x:c r="O16" s="32" t="str">
        <x:v>Can voluntary transparency meaningfully improve accountability for advanced AI developers?</x:v>
      </x:c>
      <x:c r="P16" s="32" t="str">
        <x:v>https://oecd.ai/en/ai-publications/how-are-ai-developers-managing-risks-insights-from-responses-to-the-reporting-framework-of-the-hiroshima-ai-process-code-of-conduct</x:v>
      </x:c>
      <x:c r="Q16" s="32" t="str">
        <x:v>Reporting framework launched in 2025.</x:v>
      </x:c>
      <x:c r="R16" s="34" t="str">
        <x:f>IF(M16="Must Read","Read closely",IF(M16="Strong","Read/skim","Reference as needed"))</x:f>
        <x:v>Read/skim</x:v>
      </x:c>
    </x:row>
    <x:row r="17" ht="78" customHeight="1">
      <x:c r="A17" s="32" t="n">
        <x:v>13</x:v>
      </x:c>
      <x:c r="B17" s="32" t="str">
        <x:v>Ethics Surveys</x:v>
      </x:c>
      <x:c r="C17" s="32" t="str">
        <x:v>Comprehensive LLM ethics</x:v>
      </x:c>
      <x:c r="D17" s="32" t="str">
        <x:v>Deconstructing the ethics of large language models from long-standing issues to new-emerging dilemmas</x:v>
      </x:c>
      <x:c r="E17" s="32" t="str">
        <x:v>Deng et al.</x:v>
      </x:c>
      <x:c r="F17" s="34" t="n">
        <x:v>2025</x:v>
      </x:c>
      <x:c r="G17" s="32" t="str">
        <x:v>Survey / review</x:v>
      </x:c>
      <x:c r="H17" s="32" t="str">
        <x:v>Peer-reviewed</x:v>
      </x:c>
      <x:c r="I17" s="32" t="str">
        <x:v>Surveys copyright, systematic bias, privacy, truthfulness, social norms and emerging ethical challenges of LLMs.</x:v>
      </x:c>
      <x:c r="J17" s="32" t="str">
        <x:v>Good single-paper orientation before readers enter specialized literatures.</x:v>
      </x:c>
      <x:c r="K17" s="32" t="str">
        <x:v>Literature review starting point; seminar reading</x:v>
      </x:c>
      <x:c r="L17" s="34" t="n">
        <x:f>MIN(5,IF(F17=2026,5,IF(F17=2025,4,IF(M17="Must Read",4,3))))</x:f>
        <x:v>4</x:v>
      </x:c>
      <x:c r="M17" s="34" t="str">
        <x:v>Must Read</x:v>
      </x:c>
      <x:c r="N17" s="32" t="str">
        <x:v>Research</x:v>
      </x:c>
      <x:c r="O17" s="32" t="str">
        <x:v>Which LLM ethical risks are old problems amplified by scale, and which are genuinely new?</x:v>
      </x:c>
      <x:c r="P17" s="32" t="str">
        <x:v>https://link.springer.com/article/10.1007/s43681-025-00797-3</x:v>
      </x:c>
      <x:c r="Q17" s="32" t="str">
        <x:v>Published in AI and Ethics.</x:v>
      </x:c>
      <x:c r="R17" s="34" t="str">
        <x:f>IF(M17="Must Read","Read closely",IF(M17="Strong","Read/skim","Reference as needed"))</x:f>
        <x:v>Read closely</x:v>
      </x:c>
    </x:row>
    <x:row r="18" ht="78" customHeight="1">
      <x:c r="A18" s="32" t="n">
        <x:v>14</x:v>
      </x:c>
      <x:c r="B18" s="32" t="str">
        <x:v>Bias &amp; Fairness</x:v>
      </x:c>
      <x:c r="C18" s="32" t="str">
        <x:v>Bias evaluation and mitigation</x:v>
      </x:c>
      <x:c r="D18" s="32" t="str">
        <x:v>Bias and Fairness in Large Language Models: A Survey</x:v>
      </x:c>
      <x:c r="E18" s="32" t="str">
        <x:v>Gallegos et al.</x:v>
      </x:c>
      <x:c r="F18" s="34" t="n">
        <x:v>2023</x:v>
      </x:c>
      <x:c r="G18" s="32" t="str">
        <x:v>Survey</x:v>
      </x:c>
      <x:c r="H18" s="32" t="str">
        <x:v>Research / arXiv</x:v>
      </x:c>
      <x:c r="I18" s="32" t="str">
        <x:v>Organizes social bias harms, evaluation metrics, datasets and mitigation techniques for LLMs.</x:v>
      </x:c>
      <x:c r="J18" s="32" t="str">
        <x:v>Provides a technical taxonomy that makes 'AI bias' measurable rather than purely rhetorical.</x:v>
      </x:c>
      <x:c r="K18" s="32" t="str">
        <x:v>Bias lecture; evaluation design; related work</x:v>
      </x:c>
      <x:c r="L18" s="34" t="n">
        <x:f>MIN(5,IF(F18=2026,5,IF(F18=2025,4,IF(M18="Must Read",4,3))))</x:f>
        <x:v>3</x:v>
      </x:c>
      <x:c r="M18" s="34" t="str">
        <x:v>Strong</x:v>
      </x:c>
      <x:c r="N18" s="32" t="str">
        <x:v>Research</x:v>
      </x:c>
      <x:c r="O18" s="32" t="str">
        <x:v>How should fairness be defined and measured for generative language systems?</x:v>
      </x:c>
      <x:c r="P18" s="32" t="str">
        <x:v>https://arxiv.org/abs/2309.00770</x:v>
      </x:c>
      <x:c r="Q18" s="32" t="str">
        <x:v>Still a useful technical survey in 2026.</x:v>
      </x:c>
      <x:c r="R18" s="34" t="str">
        <x:f>IF(M18="Must Read","Read closely",IF(M18="Strong","Read/skim","Reference as needed"))</x:f>
        <x:v>Read/skim</x:v>
      </x:c>
    </x:row>
    <x:row r="19" ht="78" customHeight="1">
      <x:c r="A19" s="32" t="n">
        <x:v>15</x:v>
      </x:c>
      <x:c r="B19" s="32" t="str">
        <x:v>Hallucination &amp; Truthfulness</x:v>
      </x:c>
      <x:c r="C19" s="32" t="str">
        <x:v>Hallucination taxonomy</x:v>
      </x:c>
      <x:c r="D19" s="32" t="str">
        <x:v>A Survey on Hallucination in Large Language Models</x:v>
      </x:c>
      <x:c r="E19" s="32" t="str">
        <x:v>ACM Computing Surveys</x:v>
      </x:c>
      <x:c r="F19" s="34" t="n">
        <x:v>2025</x:v>
      </x:c>
      <x:c r="G19" s="32" t="str">
        <x:v>Survey</x:v>
      </x:c>
      <x:c r="H19" s="32" t="str">
        <x:v>Peer-reviewed</x:v>
      </x:c>
      <x:c r="I19" s="32" t="str">
        <x:v>Reviews hallucination principles, taxonomies, causes, evaluation, detection and mitigation in LLMs.</x:v>
      </x:c>
      <x:c r="J19" s="32" t="str">
        <x:v>Helps distinguish factual reliability problems from broader moral or social harms.</x:v>
      </x:c>
      <x:c r="K19" s="32" t="str">
        <x:v>Truthfulness; reliability; high-stakes deployment</x:v>
      </x:c>
      <x:c r="L19" s="34" t="n">
        <x:f>MIN(5,IF(F19=2026,5,IF(F19=2025,4,IF(M19="Must Read",4,3))))</x:f>
        <x:v>4</x:v>
      </x:c>
      <x:c r="M19" s="34" t="str">
        <x:v>Must Read</x:v>
      </x:c>
      <x:c r="N19" s="32" t="str">
        <x:v>Research</x:v>
      </x:c>
      <x:c r="O19" s="32" t="str">
        <x:v>When is an incorrect LLM output merely an error, and when does it become an ethical harm?</x:v>
      </x:c>
      <x:c r="P19" s="32" t="str">
        <x:v>https://dl.acm.org/doi/10.1145/3703155</x:v>
      </x:c>
      <x:c r="Q19" s="32" t="str">
        <x:v>High-value technical survey.</x:v>
      </x:c>
      <x:c r="R19" s="34" t="str">
        <x:f>IF(M19="Must Read","Read closely",IF(M19="Strong","Read/skim","Reference as needed"))</x:f>
        <x:v>Read closely</x:v>
      </x:c>
    </x:row>
    <x:row r="20" ht="78" customHeight="1">
      <x:c r="A20" s="32" t="n">
        <x:v>16</x:v>
      </x:c>
      <x:c r="B20" s="32" t="str">
        <x:v>Privacy</x:v>
      </x:c>
      <x:c r="C20" s="32" t="str">
        <x:v>Training-data leakage</x:v>
      </x:c>
      <x:c r="D20" s="32" t="str">
        <x:v>New Privacy Risks for Large Language Models</x:v>
      </x:c>
      <x:c r="E20" s="32" t="str">
        <x:v>Research paper</x:v>
      </x:c>
      <x:c r="F20" s="34" t="n">
        <x:v>2026</x:v>
      </x:c>
      <x:c r="G20" s="32" t="str">
        <x:v>Research paper</x:v>
      </x:c>
      <x:c r="H20" s="32" t="str">
        <x:v>Preprint / current research</x:v>
      </x:c>
      <x:c r="I20" s="32" t="str">
        <x:v>Examines data extraction and memorization risks, connecting privacy leakage with copyright and training-data provenance concerns.</x:v>
      </x:c>
      <x:c r="J20" s="32" t="str">
        <x:v>Useful 2026 update showing privacy risk is not limited to classic membership inference.</x:v>
      </x:c>
      <x:c r="K20" s="32" t="str">
        <x:v>Privacy section; training data; model memorization</x:v>
      </x:c>
      <x:c r="L20" s="34" t="n">
        <x:f>MIN(5,IF(F20=2026,5,IF(F20=2025,4,IF(M20="Must Read",4,3))))</x:f>
        <x:v>5</x:v>
      </x:c>
      <x:c r="M20" s="34" t="str">
        <x:v>Strong</x:v>
      </x:c>
      <x:c r="N20" s="32" t="str">
        <x:v>Research</x:v>
      </x:c>
      <x:c r="O20" s="32" t="str">
        <x:v>What does a model owe people whose private or copyrighted data it can reproduce?</x:v>
      </x:c>
      <x:c r="P20" s="32" t="str">
        <x:v>https://arxiv.org/html/2509.14278v2</x:v>
      </x:c>
      <x:c r="Q20" s="32" t="str">
        <x:v>Version available Jan 2026.</x:v>
      </x:c>
      <x:c r="R20" s="34" t="str">
        <x:f>IF(M20="Must Read","Read closely",IF(M20="Strong","Read/skim","Reference as needed"))</x:f>
        <x:v>Read/skim</x:v>
      </x:c>
    </x:row>
    <x:row r="21" ht="78" customHeight="1">
      <x:c r="A21" s="32" t="n">
        <x:v>17</x:v>
      </x:c>
      <x:c r="B21" s="32" t="str">
        <x:v>Privacy</x:v>
      </x:c>
      <x:c r="C21" s="32" t="str">
        <x:v>Privacy threat landscape</x:v>
      </x:c>
      <x:c r="D21" s="32" t="str">
        <x:v>SoK: The Privacy Paradox of Large Language Models</x:v>
      </x:c>
      <x:c r="E21" s="32" t="str">
        <x:v>Research paper</x:v>
      </x:c>
      <x:c r="F21" s="34" t="n">
        <x:v>2025</x:v>
      </x:c>
      <x:c r="G21" s="32" t="str">
        <x:v>Systematization of knowledge</x:v>
      </x:c>
      <x:c r="H21" s="32" t="str">
        <x:v>Preprint / research</x:v>
      </x:c>
      <x:c r="I21" s="32" t="str">
        <x:v>Systematizes training-data extraction, reconstruction, inference-time privacy and protection mechanisms.</x:v>
      </x:c>
      <x:c r="J21" s="32" t="str">
        <x:v>Gives readers a map of privacy attack surfaces instead of isolated examples.</x:v>
      </x:c>
      <x:c r="K21" s="32" t="str">
        <x:v>Security/privacy module; research gap identification</x:v>
      </x:c>
      <x:c r="L21" s="34" t="n">
        <x:f>MIN(5,IF(F21=2026,5,IF(F21=2025,4,IF(M21="Must Read",4,3))))</x:f>
        <x:v>4</x:v>
      </x:c>
      <x:c r="M21" s="34" t="str">
        <x:v>Strong</x:v>
      </x:c>
      <x:c r="N21" s="32" t="str">
        <x:v>Research</x:v>
      </x:c>
      <x:c r="O21" s="32" t="str">
        <x:v>Can LLM utility and strong privacy guarantees be achieved simultaneously?</x:v>
      </x:c>
      <x:c r="P21" s="32" t="str">
        <x:v>https://arxiv.org/html/2506.12699v2</x:v>
      </x:c>
      <x:c r="Q21" s="32" t="str">
        <x:v>Useful bridge between AI ethics and security.</x:v>
      </x:c>
      <x:c r="R21" s="34" t="str">
        <x:f>IF(M21="Must Read","Read closely",IF(M21="Strong","Read/skim","Reference as needed"))</x:f>
        <x:v>Read/skim</x:v>
      </x:c>
    </x:row>
    <x:row r="22" ht="78" customHeight="1">
      <x:c r="A22" s="32" t="n">
        <x:v>18</x:v>
      </x:c>
      <x:c r="B22" s="32" t="str">
        <x:v>Privacy</x:v>
      </x:c>
      <x:c r="C22" s="32" t="str">
        <x:v>Empirical privacy evaluation</x:v>
      </x:c>
      <x:c r="D22" s="32" t="str">
        <x:v>Privacy Auditing of Large Language Models</x:v>
      </x:c>
      <x:c r="E22" s="32" t="str">
        <x:v>Research paper</x:v>
      </x:c>
      <x:c r="F22" s="34" t="n">
        <x:v>2025</x:v>
      </x:c>
      <x:c r="G22" s="32" t="str">
        <x:v>Research paper</x:v>
      </x:c>
      <x:c r="H22" s="32" t="str">
        <x:v>Preprint / research</x:v>
      </x:c>
      <x:c r="I22" s="32" t="str">
        <x:v>Develops stronger privacy auditing techniques and more effective canaries for estimating empirical leakage.</x:v>
      </x:c>
      <x:c r="J22" s="32" t="str">
        <x:v>Shows readers how privacy claims can be tested rather than assumed.</x:v>
      </x:c>
      <x:c r="K22" s="32" t="str">
        <x:v>Methodology; model audit; technical assignment</x:v>
      </x:c>
      <x:c r="L22" s="34" t="n">
        <x:f>MIN(5,IF(F22=2026,5,IF(F22=2025,4,IF(M22="Must Read",4,3))))</x:f>
        <x:v>4</x:v>
      </x:c>
      <x:c r="M22" s="34" t="str">
        <x:v>Specialist</x:v>
      </x:c>
      <x:c r="N22" s="32" t="str">
        <x:v>Research</x:v>
      </x:c>
      <x:c r="O22" s="32" t="str">
        <x:v>How should developers demonstrate that a language model is not leaking training data?</x:v>
      </x:c>
      <x:c r="P22" s="32" t="str">
        <x:v>https://arxiv.org/html/2503.06808v1</x:v>
      </x:c>
      <x:c r="Q22" s="32" t="str">
        <x:v>Technical privacy-auditing work.</x:v>
      </x:c>
      <x:c r="R22" s="34" t="str">
        <x:f>IF(M22="Must Read","Read closely",IF(M22="Strong","Read/skim","Reference as needed"))</x:f>
        <x:v>Reference as needed</x:v>
      </x:c>
    </x:row>
    <x:row r="23" ht="78" customHeight="1">
      <x:c r="A23" s="32" t="n">
        <x:v>19</x:v>
      </x:c>
      <x:c r="B23" s="32" t="str">
        <x:v>Privacy</x:v>
      </x:c>
      <x:c r="C23" s="32" t="str">
        <x:v>Agent memory and contextual leakage</x:v>
      </x:c>
      <x:c r="D23" s="32" t="str">
        <x:v>Spore: Efficient and Training-Free Privacy Extraction Attack on LLM Agent Memory</x:v>
      </x:c>
      <x:c r="E23" s="32" t="str">
        <x:v>Research paper</x:v>
      </x:c>
      <x:c r="F23" s="34" t="n">
        <x:v>2026</x:v>
      </x:c>
      <x:c r="G23" s="32" t="str">
        <x:v>Security research</x:v>
      </x:c>
      <x:c r="H23" s="32" t="str">
        <x:v>Preprint / current research</x:v>
      </x:c>
      <x:c r="I23" s="32" t="str">
        <x:v>Studies privacy leakage from inference-time contextual memory in LLM agents, beyond training-data privacy.</x:v>
      </x:c>
      <x:c r="J23" s="32" t="str">
        <x:v>Important for 2026 because persistent AI assistants and agents create a new privacy attack surface.</x:v>
      </x:c>
      <x:c r="K23" s="32" t="str">
        <x:v>Agentic AI; memory privacy; security discussion</x:v>
      </x:c>
      <x:c r="L23" s="34" t="n">
        <x:f>MIN(5,IF(F23=2026,5,IF(F23=2025,4,IF(M23="Must Read",4,3))))</x:f>
        <x:v>5</x:v>
      </x:c>
      <x:c r="M23" s="34" t="str">
        <x:v>Specialist</x:v>
      </x:c>
      <x:c r="N23" s="32" t="str">
        <x:v>Research / agents</x:v>
      </x:c>
      <x:c r="O23" s="32" t="str">
        <x:v>What privacy risks appear when AI systems remember and act on user context over time?</x:v>
      </x:c>
      <x:c r="P23" s="32" t="str">
        <x:v>https://arxiv.org/html/2604.23711v1</x:v>
      </x:c>
      <x:c r="Q23" s="32" t="str">
        <x:v>2026 agent-memory privacy paper.</x:v>
      </x:c>
      <x:c r="R23" s="34" t="str">
        <x:f>IF(M23="Must Read","Read closely",IF(M23="Strong","Read/skim","Reference as needed"))</x:f>
        <x:v>Reference as needed</x:v>
      </x:c>
    </x:row>
    <x:row r="24" ht="78" customHeight="1">
      <x:c r="A24" s="32" t="n">
        <x:v>20</x:v>
      </x:c>
      <x:c r="B24" s="32" t="str">
        <x:v>Persuasion &amp; Manipulation</x:v>
      </x:c>
      <x:c r="C24" s="32" t="str">
        <x:v>Persuasion landscape</x:v>
      </x:c>
      <x:c r="D24" s="32" t="str">
        <x:v>Persuasion with Large Language Models: A Survey of Empirical Studies</x:v>
      </x:c>
      <x:c r="E24" s="32" t="str">
        <x:v>Research survey</x:v>
      </x:c>
      <x:c r="F24" s="34" t="n">
        <x:v>2026</x:v>
      </x:c>
      <x:c r="G24" s="32" t="str">
        <x:v>Survey</x:v>
      </x:c>
      <x:c r="H24" s="32" t="str">
        <x:v>Preprint / research</x:v>
      </x:c>
      <x:c r="I24" s="32" t="str">
        <x:v>Reviews empirical evidence on automated, personalized and interactive LLM persuasion and its effects on attitudes and behavior.</x:v>
      </x:c>
      <x:c r="J24" s="32" t="str">
        <x:v>A direct entry point into one of the most important newer AI-ethics issues.</x:v>
      </x:c>
      <x:c r="K24" s="32" t="str">
        <x:v>Manipulation lecture; social influence; governance</x:v>
      </x:c>
      <x:c r="L24" s="34" t="n">
        <x:f>MIN(5,IF(F24=2026,5,IF(F24=2025,4,IF(M24="Must Read",4,3))))</x:f>
        <x:v>5</x:v>
      </x:c>
      <x:c r="M24" s="34" t="str">
        <x:v>Must Read</x:v>
      </x:c>
      <x:c r="N24" s="32" t="str">
        <x:v>Research</x:v>
      </x:c>
      <x:c r="O24" s="32" t="str">
        <x:v>When does helpful persuasion become manipulation or undue influence?</x:v>
      </x:c>
      <x:c r="P24" s="32" t="str">
        <x:v>https://arxiv.org/html/2411.06837v2</x:v>
      </x:c>
      <x:c r="Q24" s="32" t="str">
        <x:v>Updated Apr 2026.</x:v>
      </x:c>
      <x:c r="R24" s="34" t="str">
        <x:f>IF(M24="Must Read","Read closely",IF(M24="Strong","Read/skim","Reference as needed"))</x:f>
        <x:v>Read closely</x:v>
      </x:c>
    </x:row>
    <x:row r="25" ht="78" customHeight="1">
      <x:c r="A25" s="32" t="n">
        <x:v>21</x:v>
      </x:c>
      <x:c r="B25" s="32" t="str">
        <x:v>Persuasion &amp; Manipulation</x:v>
      </x:c>
      <x:c r="C25" s="32" t="str">
        <x:v>Human vs AI persuasion</x:v>
      </x:c>
      <x:c r="D25" s="32" t="str">
        <x:v>Large Language Models Are More Persuasive Than Incentivized Human Persuaders</x:v>
      </x:c>
      <x:c r="E25" s="32" t="str">
        <x:v>Schoenegger et al.</x:v>
      </x:c>
      <x:c r="F25" s="34" t="n">
        <x:v>2025</x:v>
      </x:c>
      <x:c r="G25" s="32" t="str">
        <x:v>Large-scale experiment</x:v>
      </x:c>
      <x:c r="H25" s="32" t="str">
        <x:v>Preprint / research</x:v>
      </x:c>
      <x:c r="I25" s="32" t="str">
        <x:v>Compares a frontier LLM with incentivized human persuaders in interactive settings and measures compliance with correct and incorrect persuasion.</x:v>
      </x:c>
      <x:c r="J25" s="32" t="str">
        <x:v>Provides concrete empirical evidence that persuasive capability can create both benefits and harms.</x:v>
      </x:c>
      <x:c r="K25" s="32" t="str">
        <x:v>Case study; empirical evidence; class discussion</x:v>
      </x:c>
      <x:c r="L25" s="34" t="n">
        <x:f>MIN(5,IF(F25=2026,5,IF(F25=2025,4,IF(M25="Must Read",4,3))))</x:f>
        <x:v>4</x:v>
      </x:c>
      <x:c r="M25" s="34" t="str">
        <x:v>Must Read</x:v>
      </x:c>
      <x:c r="N25" s="32" t="str">
        <x:v>Research</x:v>
      </x:c>
      <x:c r="O25" s="32" t="str">
        <x:v>Should systems with human-level or greater persuasive power face special safeguards?</x:v>
      </x:c>
      <x:c r="P25" s="32" t="str">
        <x:v>https://arxiv.org/abs/2505.09662</x:v>
      </x:c>
      <x:c r="Q25" s="32" t="str">
        <x:v>Preregistered, large-scale incentivized experiment.</x:v>
      </x:c>
      <x:c r="R25" s="34" t="str">
        <x:f>IF(M25="Must Read","Read closely",IF(M25="Strong","Read/skim","Reference as needed"))</x:f>
        <x:v>Read closely</x:v>
      </x:c>
    </x:row>
    <x:row r="26" ht="78" customHeight="1">
      <x:c r="A26" s="32" t="n">
        <x:v>22</x:v>
      </x:c>
      <x:c r="B26" s="32" t="str">
        <x:v>Persuasion &amp; Manipulation</x:v>
      </x:c>
      <x:c r="C26" s="32" t="str">
        <x:v>Harmful influence evaluation</x:v>
      </x:c>
      <x:c r="D26" s="32" t="str">
        <x:v>Evaluating Language Models for Harmful Manipulation</x:v>
      </x:c>
      <x:c r="E26" s="32" t="str">
        <x:v>Akbulut et al.</x:v>
      </x:c>
      <x:c r="F26" s="34" t="n">
        <x:v>2026</x:v>
      </x:c>
      <x:c r="G26" s="32" t="str">
        <x:v>Human-subject evaluation</x:v>
      </x:c>
      <x:c r="H26" s="32" t="str">
        <x:v>Research / preprint</x:v>
      </x:c>
      <x:c r="I26" s="32" t="str">
        <x:v>Introduces a framework for measuring harmful manipulation across public policy, finance and health with participants from multiple countries.</x:v>
      </x:c>
      <x:c r="J26" s="32" t="str">
        <x:v>Shows how manipulation can be operationalized and evaluated across consequential domains.</x:v>
      </x:c>
      <x:c r="K26" s="32" t="str">
        <x:v>Evaluation design; high-stakes AI; cross-country analysis</x:v>
      </x:c>
      <x:c r="L26" s="34" t="n">
        <x:f>MIN(5,IF(F26=2026,5,IF(F26=2025,4,IF(M26="Must Read",4,3))))</x:f>
        <x:v>5</x:v>
      </x:c>
      <x:c r="M26" s="34" t="str">
        <x:v>Strong</x:v>
      </x:c>
      <x:c r="N26" s="32" t="str">
        <x:v>US / UK / India</x:v>
      </x:c>
      <x:c r="O26" s="32" t="str">
        <x:v>How can harmful manipulation be measured before deployment?</x:v>
      </x:c>
      <x:c r="P26" s="32" t="str">
        <x:v>https://arxiv.org/pdf/2603.25326</x:v>
      </x:c>
      <x:c r="Q26" s="32" t="str">
        <x:v>Includes 10,101 participants across three locales.</x:v>
      </x:c>
      <x:c r="R26" s="34" t="str">
        <x:f>IF(M26="Must Read","Read closely",IF(M26="Strong","Read/skim","Reference as needed"))</x:f>
        <x:v>Read/skim</x:v>
      </x:c>
    </x:row>
    <x:row r="27" ht="78" customHeight="1">
      <x:c r="A27" s="32" t="n">
        <x:v>23</x:v>
      </x:c>
      <x:c r="B27" s="32" t="str">
        <x:v>Truthfulness &amp; Deception</x:v>
      </x:c>
      <x:c r="C27" s="32" t="str">
        <x:v>Sycophancy to strategic deception</x:v>
      </x:c>
      <x:c r="D27" s="32" t="str">
        <x:v>From Sycophancy to Deception: A Unified Taxonomy for Misleading LLM Behavior</x:v>
      </x:c>
      <x:c r="E27" s="32" t="str">
        <x:v>Research paper</x:v>
      </x:c>
      <x:c r="F27" s="34" t="n">
        <x:v>2026</x:v>
      </x:c>
      <x:c r="G27" s="32" t="str">
        <x:v>Taxonomy / research</x:v>
      </x:c>
      <x:c r="H27" s="32" t="str">
        <x:v>Preprint / current research</x:v>
      </x:c>
      <x:c r="I27" s="32" t="str">
        <x:v>Unifies hallucination, omission, pragmatic distortion, sycophancy and strategic deception under a common taxonomy of misleading behavior.</x:v>
      </x:c>
      <x:c r="J27" s="32" t="str">
        <x:v>Helps readers avoid treating all misleading model outputs as the same failure mode.</x:v>
      </x:c>
      <x:c r="K27" s="32" t="str">
        <x:v>Conceptual framework; deception; research taxonomy</x:v>
      </x:c>
      <x:c r="L27" s="34" t="n">
        <x:f>MIN(5,IF(F27=2026,5,IF(F27=2025,4,IF(M27="Must Read",4,3))))</x:f>
        <x:v>5</x:v>
      </x:c>
      <x:c r="M27" s="34" t="str">
        <x:v>Strong</x:v>
      </x:c>
      <x:c r="N27" s="32" t="str">
        <x:v>Research</x:v>
      </x:c>
      <x:c r="O27" s="32" t="str">
        <x:v>Does intent or goal-directedness change how ethically serious misleading AI behavior is?</x:v>
      </x:c>
      <x:c r="P27" s="32" t="str">
        <x:v>https://arxiv.org/html/2604.04788</x:v>
      </x:c>
      <x:c r="Q27" s="32" t="str">
        <x:v>Current 2026 taxonomy.</x:v>
      </x:c>
      <x:c r="R27" s="34" t="str">
        <x:f>IF(M27="Must Read","Read closely",IF(M27="Strong","Read/skim","Reference as needed"))</x:f>
        <x:v>Read/skim</x:v>
      </x:c>
    </x:row>
    <x:row r="28" ht="78" customHeight="1">
      <x:c r="A28" s="32" t="n">
        <x:v>24</x:v>
      </x:c>
      <x:c r="B28" s="32" t="str">
        <x:v>Truthfulness &amp; Deception</x:v>
      </x:c>
      <x:c r="C28" s="32" t="str">
        <x:v>Sycophancy</x:v>
      </x:c>
      <x:c r="D28" s="32" t="str">
        <x:v>Sycophancy in Large Language Models: Causes and Mitigations</x:v>
      </x:c>
      <x:c r="E28" s="32" t="str">
        <x:v>Lars Malmqvist</x:v>
      </x:c>
      <x:c r="F28" s="34" t="n">
        <x:v>2024</x:v>
      </x:c>
      <x:c r="G28" s="32" t="str">
        <x:v>Technical survey</x:v>
      </x:c>
      <x:c r="H28" s="32" t="str">
        <x:v>Research / preprint</x:v>
      </x:c>
      <x:c r="I28" s="32" t="str">
        <x:v>Surveys excessive agreement with users, causes, measurement and mitigation, and links sycophancy to hallucination and bias.</x:v>
      </x:c>
      <x:c r="J28" s="32" t="str">
        <x:v>Useful for discussing why 'agreeable' assistants can become epistemically unsafe.</x:v>
      </x:c>
      <x:c r="K28" s="32" t="str">
        <x:v>Alignment; user trust; truthfulness</x:v>
      </x:c>
      <x:c r="L28" s="34" t="n">
        <x:f>MIN(5,IF(F28=2026,5,IF(F28=2025,4,IF(M28="Must Read",4,3))))</x:f>
        <x:v>3</x:v>
      </x:c>
      <x:c r="M28" s="34" t="str">
        <x:v>Strong</x:v>
      </x:c>
      <x:c r="N28" s="32" t="str">
        <x:v>Research</x:v>
      </x:c>
      <x:c r="O28" s="32" t="str">
        <x:v>Should an assistant prioritize user satisfaction or epistemic honesty when they conflict?</x:v>
      </x:c>
      <x:c r="P28" s="32" t="str">
        <x:v>https://arxiv.org/abs/2411.15287</x:v>
      </x:c>
      <x:c r="Q28" s="32" t="str">
        <x:v>Technical survey.</x:v>
      </x:c>
      <x:c r="R28" s="34" t="str">
        <x:f>IF(M28="Must Read","Read closely",IF(M28="Strong","Read/skim","Reference as needed"))</x:f>
        <x:v>Read/skim</x:v>
      </x:c>
    </x:row>
    <x:row r="29" ht="78" customHeight="1">
      <x:c r="A29" s="32" t="n">
        <x:v>25</x:v>
      </x:c>
      <x:c r="B29" s="32" t="str">
        <x:v>Human-AI Relationships</x:v>
      </x:c>
      <x:c r="C29" s="32" t="str">
        <x:v>Emotional support</x:v>
      </x:c>
      <x:c r="D29" s="32" t="str">
        <x:v>Emotional Support with Conversational AI: Talking to Machines About Life</x:v>
      </x:c>
      <x:c r="E29" s="32" t="str">
        <x:v>Huang, Stodolska &amp; Sultana</x:v>
      </x:c>
      <x:c r="F29" s="34" t="n">
        <x:v>2026</x:v>
      </x:c>
      <x:c r="G29" s="32" t="str">
        <x:v>Qualitative HCI research</x:v>
      </x:c>
      <x:c r="H29" s="32" t="str">
        <x:v>Research / preprint</x:v>
      </x:c>
      <x:c r="I29" s="32" t="str">
        <x:v>Analyzes how emotional support is co-constructed with AI companions and tensions such as support vs dependency and validation vs delusion.</x:v>
      </x:c>
      <x:c r="J29" s="32" t="str">
        <x:v>Provides nuanced evidence beyond simplistic claims that AI companions are either beneficial or harmful.</x:v>
      </x:c>
      <x:c r="K29" s="32" t="str">
        <x:v>HCI ethics; mental-health-adjacent discussion; companionship</x:v>
      </x:c>
      <x:c r="L29" s="34" t="n">
        <x:f>MIN(5,IF(F29=2026,5,IF(F29=2025,4,IF(M29="Must Read",4,3))))</x:f>
        <x:v>5</x:v>
      </x:c>
      <x:c r="M29" s="34" t="str">
        <x:v>Must Read</x:v>
      </x:c>
      <x:c r="N29" s="32" t="str">
        <x:v>Research</x:v>
      </x:c>
      <x:c r="O29" s="32" t="str">
        <x:v>How should AI offer emotional support without reinforcing dependency or harmful beliefs?</x:v>
      </x:c>
      <x:c r="P29" s="32" t="str">
        <x:v>https://arxiv.org/html/2603.22618v1</x:v>
      </x:c>
      <x:c r="Q29" s="32" t="str">
        <x:v>2026 HCI-focused research.</x:v>
      </x:c>
      <x:c r="R29" s="34" t="str">
        <x:f>IF(M29="Must Read","Read closely",IF(M29="Strong","Read/skim","Reference as needed"))</x:f>
        <x:v>Read closely</x:v>
      </x:c>
    </x:row>
    <x:row r="30" ht="78" customHeight="1">
      <x:c r="A30" s="32" t="n">
        <x:v>26</x:v>
      </x:c>
      <x:c r="B30" s="32" t="str">
        <x:v>Human-AI Relationships</x:v>
      </x:c>
      <x:c r="C30" s="32" t="str">
        <x:v>Companion-app design</x:v>
      </x:c>
      <x:c r="D30" s="32" t="str">
        <x:v>An Evaluation of AI Companion Apps</x:v>
      </x:c>
      <x:c r="E30" s="32" t="str">
        <x:v>Research paper</x:v>
      </x:c>
      <x:c r="F30" s="34" t="n">
        <x:v>2026</x:v>
      </x:c>
      <x:c r="G30" s="32" t="str">
        <x:v>Empirical audit</x:v>
      </x:c>
      <x:c r="H30" s="32" t="str">
        <x:v>Research / preprint</x:v>
      </x:c>
      <x:c r="I30" s="32" t="str">
        <x:v>Audits popular AI companion apps for dark patterns, anthropomorphism, stereotypes, erotica and technical issues.</x:v>
      </x:c>
      <x:c r="J30" s="32" t="str">
        <x:v>Connects ethical risk to actual interface and monetization design choices, not only model behavior.</x:v>
      </x:c>
      <x:c r="K30" s="32" t="str">
        <x:v>Product ethics; dark patterns; companion AI</x:v>
      </x:c>
      <x:c r="L30" s="34" t="n">
        <x:f>MIN(5,IF(F30=2026,5,IF(F30=2025,4,IF(M30="Must Read",4,3))))</x:f>
        <x:v>5</x:v>
      </x:c>
      <x:c r="M30" s="34" t="str">
        <x:v>Must Read</x:v>
      </x:c>
      <x:c r="N30" s="32" t="str">
        <x:v>EU / UK market</x:v>
      </x:c>
      <x:c r="O30" s="32" t="str">
        <x:v>Can product incentives push AI companions toward manipulative engagement?</x:v>
      </x:c>
      <x:c r="P30" s="32" t="str">
        <x:v>https://arxiv.org/html/2605.08093v2</x:v>
      </x:c>
      <x:c r="Q30" s="32" t="str">
        <x:v>Version updated Aug 2026.</x:v>
      </x:c>
      <x:c r="R30" s="34" t="str">
        <x:f>IF(M30="Must Read","Read closely",IF(M30="Strong","Read/skim","Reference as needed"))</x:f>
        <x:v>Read closely</x:v>
      </x:c>
    </x:row>
    <x:row r="31" ht="78" customHeight="1">
      <x:c r="A31" s="32" t="n">
        <x:v>27</x:v>
      </x:c>
      <x:c r="B31" s="32" t="str">
        <x:v>Human-AI Relationships</x:v>
      </x:c>
      <x:c r="C31" s="32" t="str">
        <x:v>Emotional dependence</x:v>
      </x:c>
      <x:c r="D31" s="32" t="str">
        <x:v>Stumbling Into AI Emotional Dependence: How Routine AI Interactions Reshape Human Connection</x:v>
      </x:c>
      <x:c r="E31" s="32" t="str">
        <x:v>Shi et al.</x:v>
      </x:c>
      <x:c r="F31" s="34" t="n">
        <x:v>2026</x:v>
      </x:c>
      <x:c r="G31" s="32" t="str">
        <x:v>Perspective / evidence synthesis</x:v>
      </x:c>
      <x:c r="H31" s="32" t="str">
        <x:v>Research / preprint</x:v>
      </x:c>
      <x:c r="I31" s="32" t="str">
        <x:v>Argues that emotional dependence can emerge incidentally in general-purpose AI use and may alter future preferences for human vs AI support.</x:v>
      </x:c>
      <x:c r="J31" s="32" t="str">
        <x:v>Highlights cumulative interaction effects that one-shot safety evaluations can miss.</x:v>
      </x:c>
      <x:c r="K31" s="32" t="str">
        <x:v>Long-term interaction ethics; product policy; research gaps</x:v>
      </x:c>
      <x:c r="L31" s="34" t="n">
        <x:f>MIN(5,IF(F31=2026,5,IF(F31=2025,4,IF(M31="Must Read",4,3))))</x:f>
        <x:v>5</x:v>
      </x:c>
      <x:c r="M31" s="34" t="str">
        <x:v>Must Read</x:v>
      </x:c>
      <x:c r="N31" s="32" t="str">
        <x:v>Research</x:v>
      </x:c>
      <x:c r="O31" s="32" t="str">
        <x:v>Should general-purpose assistants be evaluated for long-term relational effects, not just single-turn harms?</x:v>
      </x:c>
      <x:c r="P31" s="32" t="str">
        <x:v>https://arxiv.org/abs/2606.04150</x:v>
      </x:c>
      <x:c r="Q31" s="32" t="str">
        <x:v>Includes synthesis of longitudinal evidence.</x:v>
      </x:c>
      <x:c r="R31" s="34" t="str">
        <x:f>IF(M31="Must Read","Read closely",IF(M31="Strong","Read/skim","Reference as needed"))</x:f>
        <x:v>Read closely</x:v>
      </x:c>
    </x:row>
    <x:row r="32" ht="78" customHeight="1">
      <x:c r="A32" s="32" t="n">
        <x:v>28</x:v>
      </x:c>
      <x:c r="B32" s="32" t="str">
        <x:v>Human-AI Relationships</x:v>
      </x:c>
      <x:c r="C32" s="32" t="str">
        <x:v>Identity and parasocial interaction</x:v>
      </x:c>
      <x:c r="D32" s="32" t="str">
        <x:v>Negotiating Digital Identities with AI Companions</x:v>
      </x:c>
      <x:c r="E32" s="32" t="str">
        <x:v>Research paper</x:v>
      </x:c>
      <x:c r="F32" s="34" t="n">
        <x:v>2026</x:v>
      </x:c>
      <x:c r="G32" s="32" t="str">
        <x:v>HCI / computational social science</x:v>
      </x:c>
      <x:c r="H32" s="32" t="str">
        <x:v>Research / preprint</x:v>
      </x:c>
      <x:c r="I32" s="32" t="str">
        <x:v>Studies identity construction and negotiation in AI-companion communities using large-scale online discussions.</x:v>
      </x:c>
      <x:c r="J32" s="32" t="str">
        <x:v>Useful for understanding anthropomorphism and dependence as social processes rather than merely UI bugs.</x:v>
      </x:c>
      <x:c r="K32" s="32" t="str">
        <x:v>HCI seminar; identity; anthropomorphism</x:v>
      </x:c>
      <x:c r="L32" s="34" t="n">
        <x:f>MIN(5,IF(F32=2026,5,IF(F32=2025,4,IF(M32="Must Read",4,3))))</x:f>
        <x:v>5</x:v>
      </x:c>
      <x:c r="M32" s="34" t="str">
        <x:v>Specialist</x:v>
      </x:c>
      <x:c r="N32" s="32" t="str">
        <x:v>Research</x:v>
      </x:c>
      <x:c r="O32" s="32" t="str">
        <x:v>How do AI companions reshape users' identities, expectations and social relationships?</x:v>
      </x:c>
      <x:c r="P32" s="32" t="str">
        <x:v>https://arxiv.org/html/2601.12181v1</x:v>
      </x:c>
      <x:c r="Q32" s="32" t="str">
        <x:v>Analyzes 22,374 online discussions.</x:v>
      </x:c>
      <x:c r="R32" s="34" t="str">
        <x:f>IF(M32="Must Read","Read closely",IF(M32="Strong","Read/skim","Reference as needed"))</x:f>
        <x:v>Reference as needed</x:v>
      </x:c>
    </x:row>
    <x:row r="33" ht="78" customHeight="1">
      <x:c r="A33" s="32" t="n">
        <x:v>29</x:v>
      </x:c>
      <x:c r="B33" s="32" t="str">
        <x:v>Agentic AI</x:v>
      </x:c>
      <x:c r="C33" s="32" t="str">
        <x:v>Governance of autonomous agents</x:v>
      </x:c>
      <x:c r="D33" s="32" t="str">
        <x:v>Towards Agentic AI Governance: A Preliminary Assessment</x:v>
      </x:c>
      <x:c r="E33" s="32" t="str">
        <x:v>Raji &amp; Bashir</x:v>
      </x:c>
      <x:c r="F33" s="34" t="n">
        <x:v>2026</x:v>
      </x:c>
      <x:c r="G33" s="32" t="str">
        <x:v>Systematic review</x:v>
      </x:c>
      <x:c r="H33" s="32" t="str">
        <x:v>Research / preprint</x:v>
      </x:c>
      <x:c r="I33" s="32" t="str">
        <x:v>Reviews governance priorities, mechanisms and stakeholder roles for AI systems that autonomously plan and execute tasks.</x:v>
      </x:c>
      <x:c r="J33" s="32" t="str">
        <x:v>Important 2026 bridge from chatbot ethics to systems that can act in the world.</x:v>
      </x:c>
      <x:c r="K33" s="32" t="str">
        <x:v>Agentic AI governance; research agenda; seminar</x:v>
      </x:c>
      <x:c r="L33" s="34" t="n">
        <x:f>MIN(5,IF(F33=2026,5,IF(F33=2025,4,IF(M33="Must Read",4,3))))</x:f>
        <x:v>5</x:v>
      </x:c>
      <x:c r="M33" s="34" t="str">
        <x:v>Must Read</x:v>
      </x:c>
      <x:c r="N33" s="32" t="str">
        <x:v>Research</x:v>
      </x:c>
      <x:c r="O33" s="32" t="str">
        <x:v>How should accountability change when AI can plan, call tools and execute actions autonomously?</x:v>
      </x:c>
      <x:c r="P33" s="32" t="str">
        <x:v>https://arxiv.org/abs/2607.07612</x:v>
      </x:c>
      <x:c r="Q33" s="32" t="str">
        <x:v>Published Jul 2026.</x:v>
      </x:c>
      <x:c r="R33" s="34" t="str">
        <x:f>IF(M33="Must Read","Read closely",IF(M33="Strong","Read/skim","Reference as needed"))</x:f>
        <x:v>Read closely</x:v>
      </x:c>
    </x:row>
    <x:row r="34" ht="78" customHeight="1">
      <x:c r="A34" s="32" t="n">
        <x:v>30</x:v>
      </x:c>
      <x:c r="B34" s="32" t="str">
        <x:v>Agentic AI</x:v>
      </x:c>
      <x:c r="C34" s="32" t="str">
        <x:v>Security and governance practice</x:v>
      </x:c>
      <x:c r="D34" s="32" t="str">
        <x:v>State of Agentic AI Security and Governance</x:v>
      </x:c>
      <x:c r="E34" s="32" t="str">
        <x:v>OWASP GenAI Security Project</x:v>
      </x:c>
      <x:c r="F34" s="34" t="n">
        <x:v>2026</x:v>
      </x:c>
      <x:c r="G34" s="32" t="str">
        <x:v>Security / governance report</x:v>
      </x:c>
      <x:c r="H34" s="32" t="str">
        <x:v>Practitioner standard</x:v>
      </x:c>
      <x:c r="I34" s="32" t="str">
        <x:v>Covers governance and security issues for autonomous AI systems, including controls, oversight and operational risk.</x:v>
      </x:c>
      <x:c r="J34" s="32" t="str">
        <x:v>Gives practitioners a deployment-oriented complement to academic governance work.</x:v>
      </x:c>
      <x:c r="K34" s="32" t="str">
        <x:v>Agent security; enterprise governance; checklist design</x:v>
      </x:c>
      <x:c r="L34" s="34" t="n">
        <x:f>MIN(5,IF(F34=2026,5,IF(F34=2025,4,IF(M34="Must Read",4,3))))</x:f>
        <x:v>5</x:v>
      </x:c>
      <x:c r="M34" s="34" t="str">
        <x:v>Strong</x:v>
      </x:c>
      <x:c r="N34" s="32" t="str">
        <x:v>Global / industry</x:v>
      </x:c>
      <x:c r="O34" s="32" t="str">
        <x:v>What controls are necessary when agents receive tools, permissions and persistent access?</x:v>
      </x:c>
      <x:c r="P34" s="32" t="str">
        <x:v>https://genai.owasp.org/resource/state-of-agentic-ai-security-and-governance/</x:v>
      </x:c>
      <x:c r="Q34" s="32" t="str">
        <x:v>Practitioner-focused resource.</x:v>
      </x:c>
      <x:c r="R34" s="34" t="str">
        <x:f>IF(M34="Must Read","Read closely",IF(M34="Strong","Read/skim","Reference as needed"))</x:f>
        <x:v>Read/skim</x:v>
      </x:c>
    </x:row>
    <x:row r="35" ht="78" customHeight="1">
      <x:c r="A35" s="32" t="n">
        <x:v>31</x:v>
      </x:c>
      <x:c r="B35" s="32" t="str">
        <x:v>Education &amp; Research</x:v>
      </x:c>
      <x:c r="C35" s="32" t="str">
        <x:v>AI in education ethics</x:v>
      </x:c>
      <x:c r="D35" s="32" t="str">
        <x:v>AI and the future of education: Disruptions, dilemmas and directions</x:v>
      </x:c>
      <x:c r="E35" s="32" t="str">
        <x:v>UNESCO</x:v>
      </x:c>
      <x:c r="F35" s="34" t="n">
        <x:v>2026</x:v>
      </x:c>
      <x:c r="G35" s="32" t="str">
        <x:v>Policy / anthology</x:v>
      </x:c>
      <x:c r="H35" s="32" t="str">
        <x:v>Official / expert collection</x:v>
      </x:c>
      <x:c r="I35" s="32" t="str">
        <x:v>Explores philosophical, ethical and pedagogical dilemmas created by AI in education and human-machine co-creation.</x:v>
      </x:c>
      <x:c r="J35" s="32" t="str">
        <x:v>Useful domain case study showing how general AI-ethics principles change in a real institution such as education.</x:v>
      </x:c>
      <x:c r="K35" s="32" t="str">
        <x:v>Education case study; classroom discussion; policy</x:v>
      </x:c>
      <x:c r="L35" s="34" t="n">
        <x:f>MIN(5,IF(F35=2026,5,IF(F35=2025,4,IF(M35="Must Read",4,3))))</x:f>
        <x:v>5</x:v>
      </x:c>
      <x:c r="M35" s="34" t="str">
        <x:v>Strong</x:v>
      </x:c>
      <x:c r="N35" s="32" t="str">
        <x:v>Global</x:v>
      </x:c>
      <x:c r="O35" s="32" t="str">
        <x:v>How should education preserve human agency, fairness and learning integrity in an AI-rich environment?</x:v>
      </x:c>
      <x:c r="P35" s="32" t="str">
        <x:v>https://www.unesco.org/en/articles/ai-and-future-education-disruptions-dilemmas-and-directions</x:v>
      </x:c>
      <x:c r="Q35" s="32" t="str">
        <x:v>Published Jan 2026.</x:v>
      </x:c>
      <x:c r="R35" s="34" t="str">
        <x:f>IF(M35="Must Read","Read closely",IF(M35="Strong","Read/skim","Reference as needed"))</x:f>
        <x:v>Read/skim</x:v>
      </x:c>
    </x:row>
    <x:row r="36" ht="78" customHeight="1">
      <x:c r="A36" s="32" t="n">
        <x:v>32</x:v>
      </x:c>
      <x:c r="B36" s="32" t="str">
        <x:v>Foundations</x:v>
      </x:c>
      <x:c r="C36" s="32" t="str">
        <x:v>Scale, data and social harms</x:v>
      </x:c>
      <x:c r="D36" s="32" t="str">
        <x:v>On the Dangers of Stochastic Parrots: Can Language Models Be Too Big?</x:v>
      </x:c>
      <x:c r="E36" s="32" t="str">
        <x:v>Bender et al.</x:v>
      </x:c>
      <x:c r="F36" s="34" t="n">
        <x:v>2021</x:v>
      </x:c>
      <x:c r="G36" s="32" t="str">
        <x:v>FAccT research paper</x:v>
      </x:c>
      <x:c r="H36" s="32" t="str">
        <x:v>Peer-reviewed</x:v>
      </x:c>
      <x:c r="I36" s="32" t="str">
        <x:v>Raises concerns about environmental cost, training-data scale, bias, documentation and the gap between linguistic form and meaning.</x:v>
      </x:c>
      <x:c r="J36" s="32" t="str">
        <x:v>Foundational critical reading that explains why ethics concerns were present before today's frontier LLMs.</x:v>
      </x:c>
      <x:c r="K36" s="32" t="str">
        <x:v>Historical foundation; data ethics; critical perspective</x:v>
      </x:c>
      <x:c r="L36" s="34" t="n">
        <x:f>MIN(5,IF(F36=2026,5,IF(F36=2025,4,IF(M36="Must Read",4,3))))</x:f>
        <x:v>4</x:v>
      </x:c>
      <x:c r="M36" s="34" t="str">
        <x:v>Must Read</x:v>
      </x:c>
      <x:c r="N36" s="32" t="str">
        <x:v>Research</x:v>
      </x:c>
      <x:c r="O36" s="32" t="str">
        <x:v>Does scaling language models without understanding data and social context create predictable harms?</x:v>
      </x:c>
      <x:c r="P36" s="32" t="str">
        <x:v>https://dl.acm.org/doi/10.1145/3442188.3445922</x:v>
      </x:c>
      <x:c r="Q36" s="32" t="str">
        <x:v>FAccT 2021; foundational.</x:v>
      </x:c>
      <x:c r="R36" s="34" t="str">
        <x:f>IF(M36="Must Read","Read closely",IF(M36="Strong","Read/skim","Reference as needed"))</x:f>
        <x:v>Read closely</x:v>
      </x:c>
    </x:row>
    <x:row r="37" ht="78" customHeight="1">
      <x:c r="A37" s="32" t="n">
        <x:v>33</x:v>
      </x:c>
      <x:c r="B37" s="32" t="str">
        <x:v>Foundations</x:v>
      </x:c>
      <x:c r="C37" s="32" t="str">
        <x:v>Language-model harm taxonomy</x:v>
      </x:c>
      <x:c r="D37" s="32" t="str">
        <x:v>Ethical and Social Risks of Harm from Language Models</x:v>
      </x:c>
      <x:c r="E37" s="32" t="str">
        <x:v>Weidinger et al.</x:v>
      </x:c>
      <x:c r="F37" s="34" t="n">
        <x:v>2022</x:v>
      </x:c>
      <x:c r="G37" s="32" t="str">
        <x:v>Risk taxonomy / research</x:v>
      </x:c>
      <x:c r="H37" s="32" t="str">
        <x:v>Research</x:v>
      </x:c>
      <x:c r="I37" s="32" t="str">
        <x:v>Organizes harms around discrimination, information hazards, misinformation, malicious use, human-computer interaction and socioeconomic/environmental harms.</x:v>
      </x:c>
      <x:c r="J37" s="32" t="str">
        <x:v>One of the clearest early taxonomies for turning 'LLM ethics' into categories of harm.</x:v>
      </x:c>
      <x:c r="K37" s="32" t="str">
        <x:v>Foundations; risk taxonomy; related work</x:v>
      </x:c>
      <x:c r="L37" s="34" t="n">
        <x:f>MIN(5,IF(F37=2026,5,IF(F37=2025,4,IF(M37="Must Read",4,3))))</x:f>
        <x:v>4</x:v>
      </x:c>
      <x:c r="M37" s="34" t="str">
        <x:v>Must Read</x:v>
      </x:c>
      <x:c r="N37" s="32" t="str">
        <x:v>Research</x:v>
      </x:c>
      <x:c r="O37" s="32" t="str">
        <x:v>What types of harm can language models create, and through which pathways?</x:v>
      </x:c>
      <x:c r="P37" s="32" t="str">
        <x:v>https://arxiv.org/abs/2112.04359</x:v>
      </x:c>
      <x:c r="Q37" s="32" t="str">
        <x:v>Published work originated from DeepMind research.</x:v>
      </x:c>
      <x:c r="R37" s="34" t="str">
        <x:f>IF(M37="Must Read","Read closely",IF(M37="Strong","Read/skim","Reference as needed"))</x:f>
        <x:v>Read closely</x:v>
      </x:c>
    </x:row>
    <x:row r="38" ht="78" customHeight="1">
      <x:c r="A38" s="32" t="n">
        <x:v>34</x:v>
      </x:c>
      <x:c r="B38" s="32" t="str">
        <x:v>Foundations</x:v>
      </x:c>
      <x:c r="C38" s="32" t="str">
        <x:v>Foundation-model societal impact</x:v>
      </x:c>
      <x:c r="D38" s="32" t="str">
        <x:v>On the Opportunities and Risks of Foundation Models</x:v>
      </x:c>
      <x:c r="E38" s="32" t="str">
        <x:v>Bommasani et al.</x:v>
      </x:c>
      <x:c r="F38" s="34" t="n">
        <x:v>2021</x:v>
      </x:c>
      <x:c r="G38" s="32" t="str">
        <x:v>Research report</x:v>
      </x:c>
      <x:c r="H38" s="32" t="str">
        <x:v>Research</x:v>
      </x:c>
      <x:c r="I38" s="32" t="str">
        <x:v>Examines foundation models across capabilities, homogenization, adaptation, evaluation, robustness, security, fairness, misuse, law and societal impact.</x:v>
      </x:c>
      <x:c r="J38" s="32" t="str">
        <x:v>Provides broad conceptual background for why one upstream model can propagate benefits and harms across many downstream systems.</x:v>
      </x:c>
      <x:c r="K38" s="32" t="str">
        <x:v>Foundation models; societal impact; literature review</x:v>
      </x:c>
      <x:c r="L38" s="34" t="n">
        <x:f>MIN(5,IF(F38=2026,5,IF(F38=2025,4,IF(M38="Must Read",4,3))))</x:f>
        <x:v>3</x:v>
      </x:c>
      <x:c r="M38" s="34" t="str">
        <x:v>Strong</x:v>
      </x:c>
      <x:c r="N38" s="32" t="str">
        <x:v>Research</x:v>
      </x:c>
      <x:c r="O38" s="32" t="str">
        <x:v>How does reliance on a small number of foundation models concentrate systemic risk?</x:v>
      </x:c>
      <x:c r="P38" s="32" t="str">
        <x:v>https://arxiv.org/abs/2108.07258</x:v>
      </x:c>
      <x:c r="Q38" s="32" t="str">
        <x:v>Stanford CRFM foundational report.</x:v>
      </x:c>
      <x:c r="R38" s="34" t="str">
        <x:f>IF(M38="Must Read","Read closely",IF(M38="Strong","Read/skim","Reference as needed"))</x:f>
        <x:v>Read/skim</x:v>
      </x:c>
    </x:row>
  </x:sheetData>
  <x:mergeCells>
    <x:mergeCell ref="A1:R1"/>
    <x:mergeCell ref="A2:R2"/>
  </x:mergeCells>
  <x:conditionalFormatting sqref="L5:L38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conditionalFormatting sqref="M5:M38">
    <x:cfRule type="expression" dxfId="0" priority="2">
      <x:formula>M5="Must Read"</x:formula>
    </x:cfRule>
    <x:cfRule type="expression" dxfId="1" priority="3">
      <x:formula>M5="Specialist"</x:formula>
    </x:cfRule>
  </x:conditionalFormatting>
  <x:conditionalFormatting sqref="F5:F38">
    <x:cfRule type="expression" dxfId="2" priority="4">
      <x:formula>F5=2026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8791c9d271f4b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4" hidden="0" customWidth="1"/>
    <x:col min="3" max="3" width="13" hidden="0" customWidth="1"/>
    <x:col min="4" max="4" width="34" hidden="0" customWidth="1"/>
    <x:col min="5" max="5" width="36" hidden="0" customWidth="1"/>
    <x:col min="6" max="6" width="44" hidden="0" customWidth="1"/>
  </x:cols>
  <x:sheetData>
    <x:row r="1" ht="32" customHeight="1">
      <x:c r="A1" s="5" t="str">
        <x:v>Topic Map — What to read for each AI / LLM ethics question</x:v>
      </x:c>
      <x:c r="B1" s="5"/>
      <x:c r="C1" s="5"/>
      <x:c r="D1" s="5"/>
      <x:c r="E1" s="5"/>
      <x:c r="F1" s="5"/>
    </x:row>
    <x:row r="3">
      <x:c r="A3" s="22" t="str">
        <x:v>Theme</x:v>
      </x:c>
      <x:c r="B3" s="22" t="str">
        <x:v>Sources in library</x:v>
      </x:c>
      <x:c r="C3" s="22" t="str">
        <x:v>2026-heavy?</x:v>
      </x:c>
      <x:c r="D3" s="22" t="str">
        <x:v>Start with</x:v>
      </x:c>
      <x:c r="E3" s="22" t="str">
        <x:v>Then read</x:v>
      </x:c>
      <x:c r="F3" s="22" t="str">
        <x:v>Typical reader question</x:v>
      </x:c>
    </x:row>
    <x:row r="4" ht="62" customHeight="1">
      <x:c r="A4" s="30" t="str">
        <x:v>Foundations</x:v>
      </x:c>
      <x:c r="B4" s="60" t="n">
        <x:f>COUNTIF('2026 Reading Library'!$B$5:$B$38,A4)</x:f>
        <x:v>5</x:v>
      </x:c>
      <x:c r="C4" s="60" t="str">
        <x:v>No</x:v>
      </x:c>
      <x:c r="D4" s="30" t="str">
        <x:v>UNESCO Recommendation</x:v>
      </x:c>
      <x:c r="E4" s="30" t="str">
        <x:v>Weidinger et al.; Stochastic Parrots</x:v>
      </x:c>
      <x:c r="F4" s="30" t="str">
        <x:v>What values and harm categories define AI ethics?</x:v>
      </x:c>
    </x:row>
    <x:row r="5" ht="62" customHeight="1">
      <x:c r="A5" s="30" t="str">
        <x:v>Governance &amp; Measurement</x:v>
      </x:c>
      <x:c r="B5" s="60" t="n">
        <x:f>COUNTIF('2026 Reading Library'!$B$5:$B$38,A5)</x:f>
        <x:v>4</x:v>
      </x:c>
      <x:c r="C5" s="60" t="str">
        <x:v>Mixed</x:v>
      </x:c>
      <x:c r="D5" s="30" t="str">
        <x:v>Stanford AI Index 2026</x:v>
      </x:c>
      <x:c r="E5" s="30" t="str">
        <x:v>NIST GenAI Profile; OECD Hiroshima report</x:v>
      </x:c>
      <x:c r="F5" s="30" t="str">
        <x:v>How do we measure and manage AI risk?</x:v>
      </x:c>
    </x:row>
    <x:row r="6" ht="62" customHeight="1">
      <x:c r="A6" s="30" t="str">
        <x:v>Transparency &amp; Accountability</x:v>
      </x:c>
      <x:c r="B6" s="60" t="n">
        <x:f>COUNTIF('2026 Reading Library'!$B$5:$B$38,A6)</x:f>
        <x:v>2</x:v>
      </x:c>
      <x:c r="C6" s="60" t="str">
        <x:v>Yes</x:v>
      </x:c>
      <x:c r="D6" s="30" t="str">
        <x:v>FMTI 2025</x:v>
      </x:c>
      <x:c r="E6" s="30" t="str">
        <x:v>EU Article 50 guidance</x:v>
      </x:c>
      <x:c r="F6" s="30" t="str">
        <x:v>What should developers disclose and to whom?</x:v>
      </x:c>
    </x:row>
    <x:row r="7" ht="62" customHeight="1">
      <x:c r="A7" s="30" t="str">
        <x:v>Regulation</x:v>
      </x:c>
      <x:c r="B7" s="60" t="n">
        <x:f>COUNTIF('2026 Reading Library'!$B$5:$B$38,A7)</x:f>
        <x:v>1</x:v>
      </x:c>
      <x:c r="C7" s="60" t="str">
        <x:v>Yes</x:v>
      </x:c>
      <x:c r="D7" s="30" t="str">
        <x:v>EU AI Act overview</x:v>
      </x:c>
      <x:c r="E7" s="30" t="str">
        <x:v>GPAI provider guidelines</x:v>
      </x:c>
      <x:c r="F7" s="30" t="str">
        <x:v>Which ethical duties are legally enforceable?</x:v>
      </x:c>
    </x:row>
    <x:row r="8" ht="62" customHeight="1">
      <x:c r="A8" s="30" t="str">
        <x:v>India &amp; Global South</x:v>
      </x:c>
      <x:c r="B8" s="60" t="n">
        <x:f>COUNTIF('2026 Reading Library'!$B$5:$B$38,A8)</x:f>
        <x:v>2</x:v>
      </x:c>
      <x:c r="C8" s="60" t="str">
        <x:v>Yes</x:v>
      </x:c>
      <x:c r="D8" s="30" t="str">
        <x:v>India AI Governance Guidelines</x:v>
      </x:c>
      <x:c r="E8" s="30" t="str">
        <x:v>Safe &amp; Trusted AI Working Group</x:v>
      </x:c>
      <x:c r="F8" s="30" t="str">
        <x:v>How should global AI governance reflect Indian and Global South priorities?</x:v>
      </x:c>
    </x:row>
    <x:row r="9" ht="62" customHeight="1">
      <x:c r="A9" s="30" t="str">
        <x:v>Bias &amp; Fairness</x:v>
      </x:c>
      <x:c r="B9" s="60" t="n">
        <x:f>COUNTIF('2026 Reading Library'!$B$5:$B$38,A9)</x:f>
        <x:v>1</x:v>
      </x:c>
      <x:c r="C9" s="60" t="str">
        <x:v>No</x:v>
      </x:c>
      <x:c r="D9" s="30" t="str">
        <x:v>Bias and Fairness in LLMs Survey</x:v>
      </x:c>
      <x:c r="E9" s="30" t="str">
        <x:v>UNESCO / OECD fairness principles</x:v>
      </x:c>
      <x:c r="F9" s="30" t="str">
        <x:v>How do we define and test fairness in generated outputs?</x:v>
      </x:c>
    </x:row>
    <x:row r="10" ht="62" customHeight="1">
      <x:c r="A10" s="30" t="str">
        <x:v>Hallucination &amp; Truthfulness</x:v>
      </x:c>
      <x:c r="B10" s="60" t="n">
        <x:f>COUNTIF('2026 Reading Library'!$B$5:$B$38,A10)</x:f>
        <x:v>1</x:v>
      </x:c>
      <x:c r="C10" s="60" t="str">
        <x:v>Mixed</x:v>
      </x:c>
      <x:c r="D10" s="30" t="str">
        <x:v>ACM Hallucination Survey</x:v>
      </x:c>
      <x:c r="E10" s="30" t="str">
        <x:v>Sycophancy / deception taxonomy</x:v>
      </x:c>
      <x:c r="F10" s="30" t="str">
        <x:v>When does model unreliability become an ethical risk?</x:v>
      </x:c>
    </x:row>
    <x:row r="11" ht="62" customHeight="1">
      <x:c r="A11" s="30" t="str">
        <x:v>Privacy</x:v>
      </x:c>
      <x:c r="B11" s="60" t="n">
        <x:f>COUNTIF('2026 Reading Library'!$B$5:$B$38,A11)</x:f>
        <x:v>4</x:v>
      </x:c>
      <x:c r="C11" s="60" t="str">
        <x:v>Yes</x:v>
      </x:c>
      <x:c r="D11" s="30" t="str">
        <x:v>New Privacy Risks for LLMs</x:v>
      </x:c>
      <x:c r="E11" s="30" t="str">
        <x:v>Privacy Paradox; Spore</x:v>
      </x:c>
      <x:c r="F11" s="30" t="str">
        <x:v>What can models leak from training data, chats and memory?</x:v>
      </x:c>
    </x:row>
    <x:row r="12" ht="62" customHeight="1">
      <x:c r="A12" s="30" t="str">
        <x:v>Persuasion &amp; Manipulation</x:v>
      </x:c>
      <x:c r="B12" s="60" t="n">
        <x:f>COUNTIF('2026 Reading Library'!$B$5:$B$38,A12)</x:f>
        <x:v>3</x:v>
      </x:c>
      <x:c r="C12" s="60" t="str">
        <x:v>Yes</x:v>
      </x:c>
      <x:c r="D12" s="30" t="str">
        <x:v>Persuasion with LLMs Survey</x:v>
      </x:c>
      <x:c r="E12" s="30" t="str">
        <x:v>Human-vs-LLM persuasion; harmful manipulation evaluation</x:v>
      </x:c>
      <x:c r="F12" s="30" t="str">
        <x:v>When does influence become manipulation?</x:v>
      </x:c>
    </x:row>
    <x:row r="13" ht="62" customHeight="1">
      <x:c r="A13" s="30" t="str">
        <x:v>Truthfulness &amp; Deception</x:v>
      </x:c>
      <x:c r="B13" s="60" t="n">
        <x:f>COUNTIF('2026 Reading Library'!$B$5:$B$38,A13)</x:f>
        <x:v>2</x:v>
      </x:c>
      <x:c r="C13" s="60" t="str">
        <x:v>Yes</x:v>
      </x:c>
      <x:c r="D13" s="30" t="str">
        <x:v>From Sycophancy to Deception</x:v>
      </x:c>
      <x:c r="E13" s="30" t="str">
        <x:v>Sycophancy survey</x:v>
      </x:c>
      <x:c r="F13" s="30" t="str">
        <x:v>How should we distinguish hallucination, pleasing the user and strategic deception?</x:v>
      </x:c>
    </x:row>
    <x:row r="14" ht="62" customHeight="1">
      <x:c r="A14" s="30" t="str">
        <x:v>Human-AI Relationships</x:v>
      </x:c>
      <x:c r="B14" s="60" t="n">
        <x:f>COUNTIF('2026 Reading Library'!$B$5:$B$38,A14)</x:f>
        <x:v>4</x:v>
      </x:c>
      <x:c r="C14" s="60" t="str">
        <x:v>Yes</x:v>
      </x:c>
      <x:c r="D14" s="30" t="str">
        <x:v>Emotional Support with Conversational AI</x:v>
      </x:c>
      <x:c r="E14" s="30" t="str">
        <x:v>AI Companion Apps; Emotional Dependence</x:v>
      </x:c>
      <x:c r="F14" s="30" t="str">
        <x:v>Can helpful companionship create dependency or manipulation?</x:v>
      </x:c>
    </x:row>
    <x:row r="15" ht="62" customHeight="1">
      <x:c r="A15" s="30" t="str">
        <x:v>Agentic AI</x:v>
      </x:c>
      <x:c r="B15" s="60" t="n">
        <x:f>COUNTIF('2026 Reading Library'!$B$5:$B$38,A15)</x:f>
        <x:v>2</x:v>
      </x:c>
      <x:c r="C15" s="60" t="str">
        <x:v>Yes</x:v>
      </x:c>
      <x:c r="D15" s="30" t="str">
        <x:v>Towards Agentic AI Governance</x:v>
      </x:c>
      <x:c r="E15" s="30" t="str">
        <x:v>OWASP Agentic AI Security &amp; Governance</x:v>
      </x:c>
      <x:c r="F15" s="30" t="str">
        <x:v>Who is responsible when AI can act autonomously?</x:v>
      </x:c>
    </x:row>
    <x:row r="16" ht="62" customHeight="1">
      <x:c r="A16" s="30" t="str">
        <x:v>Education &amp; Research</x:v>
      </x:c>
      <x:c r="B16" s="60" t="n">
        <x:f>COUNTIF('2026 Reading Library'!$B$5:$B$38,A16)</x:f>
        <x:v>1</x:v>
      </x:c>
      <x:c r="C16" s="60" t="str">
        <x:v>Yes</x:v>
      </x:c>
      <x:c r="D16" s="30" t="str">
        <x:v>UNESCO AI and the Future of Education</x:v>
      </x:c>
      <x:c r="E16" s="30" t="str">
        <x:v>UNESCO ethics principles</x:v>
      </x:c>
      <x:c r="F16" s="30" t="str">
        <x:v>How should AI be used without undermining learning, agency or integrity?</x:v>
      </x:c>
    </x:row>
    <x:row r="17" ht="62" customHeight="1">
      <x:c r="A17" s="30" t="str">
        <x:v>Human Rights</x:v>
      </x:c>
      <x:c r="B17" s="60" t="n">
        <x:f>COUNTIF('2026 Reading Library'!$B$5:$B$38,A17)</x:f>
        <x:v>1</x:v>
      </x:c>
      <x:c r="C17" s="60" t="str">
        <x:v>Mixed</x:v>
      </x:c>
      <x:c r="D17" s="30" t="str">
        <x:v>Council of Europe AI Convention</x:v>
      </x:c>
      <x:c r="E17" s="30" t="str">
        <x:v>UNESCO Recommendation</x:v>
      </x:c>
      <x:c r="F17" s="30" t="str">
        <x:v>How should AI be constrained by rights, democracy and rule of law?</x:v>
      </x:c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54eb46ef1e1e4569"/>
  <x:tableParts count="1">
    <x:tablePart xmlns:r="http://schemas.openxmlformats.org/officeDocument/2006/relationships" r:id="Rf96bf57c6552447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4" hidden="0" customWidth="1"/>
    <x:col min="3" max="3" width="3" hidden="0" customWidth="1"/>
    <x:col min="4" max="4" width="8" hidden="0" customWidth="1"/>
    <x:col min="5" max="5" width="20" hidden="0" customWidth="1"/>
    <x:col min="6" max="6" width="24" hidden="0" customWidth="1"/>
    <x:col min="7" max="7" width="22" hidden="0" customWidth="1"/>
    <x:col min="8" max="8" width="28" hidden="0" customWidth="1"/>
  </x:cols>
  <x:sheetData>
    <x:row r="1" ht="30" customHeight="1">
      <x:c r="A1" s="64" t="str">
        <x:v>AI &amp; LLM Ethics — Living Literature Tracker</x:v>
      </x:c>
      <x:c r="B1" s="64"/>
      <x:c r="C1" s="64"/>
      <x:c r="D1" s="64"/>
      <x:c r="E1" s="64"/>
      <x:c r="F1" s="64"/>
      <x:c r="G1" s="64"/>
      <x:c r="H1" s="64"/>
    </x:row>
    <x:row r="2" ht="34" customHeight="1">
      <x:c r="A2" s="28" t="str">
        <x:v>Snapshot initialized 16 Aug 2026. Automated runs discover new scholarly work and official policy updates, deduplicate them, score importance, and refresh the workbook.</x:v>
      </x:c>
      <x:c r="B2" s="28"/>
      <x:c r="C2" s="28"/>
      <x:c r="D2" s="28"/>
      <x:c r="E2" s="28"/>
      <x:c r="F2" s="28"/>
      <x:c r="G2" s="28"/>
      <x:c r="H2" s="28"/>
    </x:row>
    <x:row r="4" ht="28" customHeight="1">
      <x:c r="A4" s="70" t="str">
        <x:v>Curated sources</x:v>
      </x:c>
      <x:c r="B4" s="70" t="str">
        <x:v>2026 sources</x:v>
      </x:c>
      <x:c r="C4" s="70" t="str">
        <x:v>Must Read</x:v>
      </x:c>
      <x:c r="D4" s="70" t="str">
        <x:v>Official / institutional</x:v>
      </x:c>
      <x:c r="F4" s="70" t="str">
        <x:v>Automation state</x:v>
      </x:c>
      <x:c r="G4" s="70" t="str">
        <x:v>Value</x:v>
      </x:c>
      <x:c r="H4" s="70" t="str">
        <x:v>Meaning</x:v>
      </x:c>
    </x:row>
    <x:row r="5">
      <x:c r="A5" s="73" t="n">
        <x:v>34</x:v>
      </x:c>
      <x:c r="B5" s="73" t="n">
        <x:v>17</x:v>
      </x:c>
      <x:c r="C5" s="73" t="n">
        <x:v>17</x:v>
      </x:c>
      <x:c r="D5" s="73" t="n">
        <x:v>12</x:v>
      </x:c>
      <x:c r="F5" s="30" t="str">
        <x:v>New this week</x:v>
      </x:c>
      <x:c r="G5" s="30" t="n">
        <x:v>0</x:v>
      </x:c>
      <x:c r="H5" s="30" t="str">
        <x:v>Auto-discovered items from the latest run</x:v>
      </x:c>
    </x:row>
    <x:row r="6">
      <x:c r="F6" s="30" t="str">
        <x:v>Review queue</x:v>
      </x:c>
      <x:c r="G6" s="30" t="n">
        <x:v>0</x:v>
      </x:c>
      <x:c r="H6" s="30" t="str">
        <x:v>Items waiting for human promotion/rejection</x:v>
      </x:c>
    </x:row>
    <x:row r="7">
      <x:c r="F7" s="30" t="str">
        <x:v>Auto-promoted</x:v>
      </x:c>
      <x:c r="G7" s="30" t="n">
        <x:v>0</x:v>
      </x:c>
      <x:c r="H7" s="30" t="str">
        <x:v>Only exceptional high-confidence items</x:v>
      </x:c>
    </x:row>
    <x:row r="8">
      <x:c r="F8" s="30" t="str">
        <x:v>Last run</x:v>
      </x:c>
      <x:c r="G8" s="30" t="str">
        <x:v>Initial build</x:v>
      </x:c>
      <x:c r="H8" s="30" t="str">
        <x:v>GitHub Actions will replace this on each run</x:v>
      </x:c>
    </x:row>
    <x:row r="9" ht="28" customHeight="1">
      <x:c r="A9" s="70" t="str">
        <x:v>Theme</x:v>
      </x:c>
      <x:c r="B9" s="70" t="str">
        <x:v>Curated count</x:v>
      </x:c>
      <x:c r="D9" s="75" t="str">
        <x:v>How the living system works</x:v>
      </x:c>
      <x:c r="E9" s="75"/>
      <x:c r="F9" s="75"/>
      <x:c r="G9" s="75"/>
      <x:c r="H9" s="75"/>
    </x:row>
    <x:row r="10">
      <x:c r="A10" s="30" t="str">
        <x:v>Foundations</x:v>
      </x:c>
      <x:c r="B10" s="30" t="n">
        <x:v>5</x:v>
      </x:c>
      <x:c r="D10" s="76" t="str">
        <x:v>1</x:v>
      </x:c>
      <x:c r="E10" s="30" t="str">
        <x:v>Discover</x:v>
      </x:c>
      <x:c r="F10" s="30" t="str">
        <x:v>arXiv + OpenAlex + Crossref</x:v>
      </x:c>
      <x:c r="G10" s="30" t="str">
        <x:v>Recent scholarly items</x:v>
      </x:c>
      <x:c r="H10" s="30" t="str">
        <x:v>Free/public APIs</x:v>
      </x:c>
    </x:row>
    <x:row r="11">
      <x:c r="A11" s="30" t="str">
        <x:v>Governance &amp; Measurement</x:v>
      </x:c>
      <x:c r="B11" s="30" t="n">
        <x:v>4</x:v>
      </x:c>
      <x:c r="D11" s="76" t="str">
        <x:v>2</x:v>
      </x:c>
      <x:c r="E11" s="30" t="str">
        <x:v>Watch</x:v>
      </x:c>
      <x:c r="F11" s="30" t="str">
        <x:v>NIST + EU + OECD + UNESCO + IndiaAI</x:v>
      </x:c>
      <x:c r="G11" s="30" t="str">
        <x:v>Official policy/news links</x:v>
      </x:c>
      <x:c r="H11" s="30" t="str">
        <x:v>Same-domain page watcher</x:v>
      </x:c>
    </x:row>
    <x:row r="12">
      <x:c r="A12" s="30" t="str">
        <x:v>Human-AI Relationships</x:v>
      </x:c>
      <x:c r="B12" s="30" t="n">
        <x:v>4</x:v>
      </x:c>
      <x:c r="D12" s="76" t="str">
        <x:v>3</x:v>
      </x:c>
      <x:c r="E12" s="30" t="str">
        <x:v>Filter</x:v>
      </x:c>
      <x:c r="F12" s="30" t="str">
        <x:v>Theme keyword map</x:v>
      </x:c>
      <x:c r="G12" s="30" t="str">
        <x:v>Remove off-topic material</x:v>
      </x:c>
      <x:c r="H12" s="30" t="str">
        <x:v>Configurable</x:v>
      </x:c>
    </x:row>
    <x:row r="13">
      <x:c r="A13" s="30" t="str">
        <x:v>Privacy</x:v>
      </x:c>
      <x:c r="B13" s="30" t="n">
        <x:v>4</x:v>
      </x:c>
      <x:c r="D13" s="76" t="str">
        <x:v>4</x:v>
      </x:c>
      <x:c r="E13" s="30" t="str">
        <x:v>Score</x:v>
      </x:c>
      <x:c r="F13" s="30" t="str">
        <x:v>Relevance + authority + recency + impact</x:v>
      </x:c>
      <x:c r="G13" s="30" t="str">
        <x:v>0–100 importance score</x:v>
      </x:c>
      <x:c r="H13" s="30" t="str">
        <x:v>Deterministic / auditable</x:v>
      </x:c>
    </x:row>
    <x:row r="14">
      <x:c r="A14" s="30" t="str">
        <x:v>Persuasion &amp; Manipulation</x:v>
      </x:c>
      <x:c r="B14" s="30" t="n">
        <x:v>3</x:v>
      </x:c>
      <x:c r="D14" s="76" t="str">
        <x:v>5</x:v>
      </x:c>
      <x:c r="E14" s="30" t="str">
        <x:v>Deduplicate</x:v>
      </x:c>
      <x:c r="F14" s="30" t="str">
        <x:v>DOI → canonical URL → title/year</x:v>
      </x:c>
      <x:c r="G14" s="30" t="str">
        <x:v>No repeated entries</x:v>
      </x:c>
      <x:c r="H14" s="30" t="str">
        <x:v>Across all sources</x:v>
      </x:c>
    </x:row>
    <x:row r="15">
      <x:c r="A15" s="30" t="str">
        <x:v>Agentic AI</x:v>
      </x:c>
      <x:c r="B15" s="30" t="n">
        <x:v>2</x:v>
      </x:c>
      <x:c r="D15" s="76" t="str">
        <x:v>6</x:v>
      </x:c>
      <x:c r="E15" s="30" t="str">
        <x:v>Publish</x:v>
      </x:c>
      <x:c r="F15" s="30" t="str">
        <x:v>New This Week + Review Queue + XLSX</x:v>
      </x:c>
      <x:c r="G15" s="30" t="str">
        <x:v>Reader-ready update</x:v>
      </x:c>
      <x:c r="H15" s="30" t="str">
        <x:v>GitHub Actions schedule</x:v>
      </x:c>
    </x:row>
    <x:row r="16">
      <x:c r="A16" s="30" t="str">
        <x:v>India &amp; Global South</x:v>
      </x:c>
      <x:c r="B16" s="30" t="n">
        <x:v>2</x:v>
      </x:c>
    </x:row>
    <x:row r="17">
      <x:c r="A17" s="30" t="str">
        <x:v>Transparency &amp; Accountability</x:v>
      </x:c>
      <x:c r="B17" s="30" t="n">
        <x:v>2</x:v>
      </x:c>
    </x:row>
    <x:row r="18">
      <x:c r="A18" s="30" t="str">
        <x:v>Truthfulness &amp; Deception</x:v>
      </x:c>
      <x:c r="B18" s="30" t="n">
        <x:v>2</x:v>
      </x:c>
    </x:row>
    <x:row r="19">
      <x:c r="A19" s="30" t="str">
        <x:v>Bias &amp; Fairness</x:v>
      </x:c>
      <x:c r="B19" s="30" t="n">
        <x:v>1</x:v>
      </x:c>
    </x:row>
    <x:row r="20">
      <x:c r="A20" s="30" t="str">
        <x:v>Education &amp; Research</x:v>
      </x:c>
      <x:c r="B20" s="30" t="n">
        <x:v>1</x:v>
      </x:c>
    </x:row>
    <x:row r="21">
      <x:c r="A21" s="30" t="str">
        <x:v>Ethics Surveys</x:v>
      </x:c>
      <x:c r="B21" s="30" t="n">
        <x:v>1</x:v>
      </x:c>
    </x:row>
    <x:row r="22">
      <x:c r="A22" s="30" t="str">
        <x:v>Hallucination &amp; Truthfulness</x:v>
      </x:c>
      <x:c r="B22" s="30" t="n">
        <x:v>1</x:v>
      </x:c>
    </x:row>
    <x:row r="23">
      <x:c r="A23" s="30" t="str">
        <x:v>Human Rights</x:v>
      </x:c>
      <x:c r="B23" s="30" t="n">
        <x:v>1</x:v>
      </x:c>
    </x:row>
    <x:row r="24">
      <x:c r="A24" s="30" t="str">
        <x:v>Regulation</x:v>
      </x:c>
      <x:c r="B24" s="30" t="n">
        <x:v>1</x:v>
      </x:c>
    </x:row>
  </x:sheetData>
  <x:mergeCells>
    <x:mergeCell ref="A1:H1"/>
    <x:mergeCell ref="A2:H2"/>
    <x:mergeCell ref="D9:H9"/>
  </x:mergeCells>
  <x:pageMargins left="0.7" right="0.7" top="0.75" bottom="0.75" header="0.3" footer="0.3"/>
  <x:drawing xmlns:r="http://schemas.openxmlformats.org/officeDocument/2006/relationships" r:id="R3770d934977c4ea4"/>
</x:worksheet>
</file>

<file path=xl/worksheets/sheet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24" hidden="0" customWidth="1"/>
    <x:col min="5" max="5" width="18" hidden="0" customWidth="1"/>
    <x:col min="6" max="6" width="18" hidden="0" customWidth="1"/>
    <x:col min="7" max="7" width="14" hidden="0" customWidth="1"/>
    <x:col min="8" max="8" width="14" hidden="0" customWidth="1"/>
    <x:col min="9" max="9" width="38" hidden="0" customWidth="1"/>
    <x:col min="10" max="10" width="42" hidden="0" customWidth="1"/>
    <x:col min="11" max="11" width="22" hidden="0" customWidth="1"/>
    <x:col min="12" max="12" width="14" hidden="0" customWidth="1"/>
    <x:col min="13" max="13" width="30" hidden="0" customWidth="1"/>
  </x:cols>
  <x:sheetData>
    <x:row r="1" ht="30" customHeight="1">
      <x:c r="A1" s="64" t="str">
        <x:v>New This Week — Automatically Discovered</x:v>
      </x:c>
      <x:c r="B1" s="64"/>
      <x:c r="C1" s="64"/>
      <x:c r="D1" s="64"/>
      <x:c r="E1" s="64"/>
      <x:c r="F1" s="64"/>
      <x:c r="G1" s="64"/>
      <x:c r="H1" s="64"/>
      <x:c r="I1" s="64"/>
      <x:c r="J1" s="64"/>
      <x:c r="K1" s="64"/>
      <x:c r="L1" s="64"/>
      <x:c r="M1" s="64"/>
    </x:row>
    <x:row r="2">
      <x:c r="A2" s="28" t="str">
        <x:v>This tab is overwritten by each automated run. It contains new high-scoring discoveries detected in the configured lookback window.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</x:row>
    <x:row r="4" ht="28" customHeight="1">
      <x:c r="A4" s="70" t="str">
        <x:v>Detected</x:v>
      </x:c>
      <x:c r="B4" s="70" t="str">
        <x:v>Published</x:v>
      </x:c>
      <x:c r="C4" s="70" t="str">
        <x:v>Title</x:v>
      </x:c>
      <x:c r="D4" s="70" t="str">
        <x:v>Theme</x:v>
      </x:c>
      <x:c r="E4" s="70" t="str">
        <x:v>Source</x:v>
      </x:c>
      <x:c r="F4" s="70" t="str">
        <x:v>Source Type</x:v>
      </x:c>
      <x:c r="G4" s="70" t="str">
        <x:v>Importance Score</x:v>
      </x:c>
      <x:c r="H4" s="70" t="str">
        <x:v>Priority</x:v>
      </x:c>
      <x:c r="I4" s="70" t="str">
        <x:v>Why flagged</x:v>
      </x:c>
      <x:c r="J4" s="70" t="str">
        <x:v>URL</x:v>
      </x:c>
      <x:c r="K4" s="70" t="str">
        <x:v>DOI</x:v>
      </x:c>
      <x:c r="L4" s="70" t="str">
        <x:v>Decision</x:v>
      </x:c>
      <x:c r="M4" s="70" t="str">
        <x:v>Notes</x:v>
      </x:c>
    </x:row>
    <x:row r="5">
      <x:c r="A5" s="30" t="str">
        <x:v>—</x:v>
      </x:c>
      <x:c r="B5" s="30" t="str">
        <x:v>—</x:v>
      </x:c>
      <x:c r="C5" s="30" t="str">
        <x:v>No automated run yet</x:v>
      </x:c>
      <x:c r="D5" s="30" t="str">
        <x:v>—</x:v>
      </x:c>
      <x:c r="E5" s="30" t="str">
        <x:v>—</x:v>
      </x:c>
      <x:c r="F5" s="30" t="str">
        <x:v>—</x:v>
      </x:c>
      <x:c r="G5" s="30" t="n">
        <x:v>0</x:v>
      </x:c>
      <x:c r="H5" s="30" t="str">
        <x:v>—</x:v>
      </x:c>
      <x:c r="I5" s="30" t="str">
        <x:v>Initialize GitHub Actions to populate this tab.</x:v>
      </x:c>
      <x:c r="J5" s="30" t="str"/>
      <x:c r="K5" s="30" t="str"/>
      <x:c r="L5" s="30" t="str">
        <x:v>Pending</x:v>
      </x:c>
      <x:c r="M5" s="30" t="str"/>
    </x:row>
  </x:sheetData>
  <x:mergeCells>
    <x:mergeCell ref="A1:M1"/>
    <x:mergeCell ref="A2:M2"/>
  </x:mergeCells>
  <x:conditionalFormatting sqref="G5:G500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dataValidations count="1">
    <x:dataValidation type="list" sqref="L5:L500">
      <x:formula1>"Pending,Promote,Reject,Watch"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4ab3ff5f9e4ae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24" hidden="0" customWidth="1"/>
    <x:col min="5" max="5" width="18" hidden="0" customWidth="1"/>
    <x:col min="6" max="6" width="18" hidden="0" customWidth="1"/>
    <x:col min="7" max="7" width="14" hidden="0" customWidth="1"/>
    <x:col min="8" max="8" width="14" hidden="0" customWidth="1"/>
    <x:col min="9" max="9" width="38" hidden="0" customWidth="1"/>
    <x:col min="10" max="10" width="42" hidden="0" customWidth="1"/>
    <x:col min="11" max="11" width="22" hidden="0" customWidth="1"/>
    <x:col min="12" max="12" width="14" hidden="0" customWidth="1"/>
    <x:col min="13" max="13" width="28" hidden="0" customWidth="1"/>
    <x:col min="14" max="14" width="36" hidden="0" customWidth="1"/>
  </x:cols>
  <x:sheetData>
    <x:row r="1" ht="30" customHeight="1">
      <x:c r="A1" s="64" t="str">
        <x:v>Review Queue — Human-in-the-loop Curation</x:v>
      </x:c>
      <x:c r="B1" s="64"/>
      <x:c r="C1" s="64"/>
      <x:c r="D1" s="64"/>
      <x:c r="E1" s="64"/>
      <x:c r="F1" s="64"/>
      <x:c r="G1" s="64"/>
      <x:c r="H1" s="64"/>
      <x:c r="I1" s="64"/>
      <x:c r="J1" s="64"/>
      <x:c r="K1" s="64"/>
      <x:c r="L1" s="64"/>
      <x:c r="M1" s="64"/>
      <x:c r="N1" s="64"/>
    </x:row>
    <x:row r="2">
      <x:c r="A2" s="28" t="str">
        <x:v>Auto-discovery is intentionally separated from the stable curated library. Promote only sources that are genuinely valuable for readers.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28" customHeight="1">
      <x:c r="A4" s="70" t="str">
        <x:v>Detected</x:v>
      </x:c>
      <x:c r="B4" s="70" t="str">
        <x:v>Published</x:v>
      </x:c>
      <x:c r="C4" s="70" t="str">
        <x:v>Title</x:v>
      </x:c>
      <x:c r="D4" s="70" t="str">
        <x:v>Theme</x:v>
      </x:c>
      <x:c r="E4" s="70" t="str">
        <x:v>Source</x:v>
      </x:c>
      <x:c r="F4" s="70" t="str">
        <x:v>Source Type</x:v>
      </x:c>
      <x:c r="G4" s="70" t="str">
        <x:v>Importance Score</x:v>
      </x:c>
      <x:c r="H4" s="70" t="str">
        <x:v>Priority</x:v>
      </x:c>
      <x:c r="I4" s="70" t="str">
        <x:v>Why flagged</x:v>
      </x:c>
      <x:c r="J4" s="70" t="str">
        <x:v>URL</x:v>
      </x:c>
      <x:c r="K4" s="70" t="str">
        <x:v>DOI</x:v>
      </x:c>
      <x:c r="L4" s="70" t="str">
        <x:v>Decision</x:v>
      </x:c>
      <x:c r="M4" s="70" t="str">
        <x:v>Notes</x:v>
      </x:c>
      <x:c r="N4" s="70" t="str">
        <x:v>Reviewer rationale</x:v>
      </x:c>
    </x:row>
    <x:row r="5">
      <x:c r="A5" s="30" t="str">
        <x:v>—</x:v>
      </x:c>
      <x:c r="B5" s="30" t="str">
        <x:v>—</x:v>
      </x:c>
      <x:c r="C5" s="30" t="str">
        <x:v>Queue empty</x:v>
      </x:c>
      <x:c r="D5" s="30" t="str">
        <x:v>—</x:v>
      </x:c>
      <x:c r="E5" s="30" t="str">
        <x:v>—</x:v>
      </x:c>
      <x:c r="F5" s="30" t="str">
        <x:v>—</x:v>
      </x:c>
      <x:c r="G5" s="30" t="n">
        <x:v>0</x:v>
      </x:c>
      <x:c r="H5" s="30" t="str">
        <x:v>—</x:v>
      </x:c>
      <x:c r="I5" s="30" t="str">
        <x:v>Runs will append candidates here.</x:v>
      </x:c>
      <x:c r="J5" s="30" t="str"/>
      <x:c r="K5" s="30" t="str"/>
      <x:c r="L5" s="30" t="str">
        <x:v>Pending</x:v>
      </x:c>
      <x:c r="M5" s="30" t="str"/>
      <x:c r="N5" s="30" t="str"/>
    </x:row>
  </x:sheetData>
  <x:mergeCells>
    <x:mergeCell ref="A1:N1"/>
    <x:mergeCell ref="A2:N2"/>
  </x:mergeCells>
  <x:conditionalFormatting sqref="G5:G1000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dataValidations count="1">
    <x:dataValidation type="list" sqref="L5:L1000">
      <x:formula1>"Pending,Promote,Reject,Watch"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4d03a80e834c1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4" hidden="0" customWidth="1"/>
    <x:col min="3" max="3" width="28" hidden="0" customWidth="1"/>
    <x:col min="4" max="4" width="45" hidden="0" customWidth="1"/>
    <x:col min="5" max="5" width="28" hidden="0" customWidth="1"/>
    <x:col min="6" max="6" width="10" hidden="0" customWidth="1"/>
    <x:col min="7" max="7" width="22" hidden="0" customWidth="1"/>
    <x:col min="8" max="8" width="24" hidden="0" customWidth="1"/>
    <x:col min="9" max="9" width="46" hidden="0" customWidth="1"/>
    <x:col min="10" max="10" width="46" hidden="0" customWidth="1"/>
    <x:col min="11" max="11" width="34" hidden="0" customWidth="1"/>
    <x:col min="12" max="12" width="14" hidden="0" customWidth="1"/>
    <x:col min="13" max="13" width="15" hidden="0" customWidth="1"/>
    <x:col min="14" max="14" width="20" hidden="0" customWidth="1"/>
    <x:col min="15" max="15" width="42" hidden="0" customWidth="1"/>
    <x:col min="16" max="16" width="42" hidden="0" customWidth="1"/>
    <x:col min="17" max="17" width="34" hidden="0" customWidth="1"/>
    <x:col min="18" max="18" width="16" hidden="0" customWidth="1"/>
  </x:cols>
  <x:sheetData>
    <x:row r="1" ht="30" customHeight="1">
      <x:c r="A1" s="64" t="str">
        <x:v>2026-Only View</x:v>
      </x:c>
      <x:c r="B1" s="64"/>
      <x:c r="C1" s="64"/>
      <x:c r="D1" s="64"/>
      <x:c r="E1" s="64"/>
      <x:c r="F1" s="64"/>
      <x:c r="G1" s="64"/>
      <x:c r="H1" s="64"/>
      <x:c r="I1" s="64"/>
      <x:c r="J1" s="64"/>
      <x:c r="K1" s="64"/>
      <x:c r="L1" s="64"/>
      <x:c r="M1" s="64"/>
      <x:c r="N1" s="64"/>
      <x:c r="O1" s="64"/>
      <x:c r="P1" s="64"/>
      <x:c r="Q1" s="64"/>
      <x:c r="R1" s="64"/>
    </x:row>
    <x:row r="3" ht="28" customHeight="1">
      <x:c r="A3" s="70" t="str">
        <x:v>ID</x:v>
      </x:c>
      <x:c r="B3" s="70" t="str">
        <x:v>Theme</x:v>
      </x:c>
      <x:c r="C3" s="70" t="str">
        <x:v>Subtopic</x:v>
      </x:c>
      <x:c r="D3" s="70" t="str">
        <x:v>Title</x:v>
      </x:c>
      <x:c r="E3" s="70" t="str">
        <x:v>Author / Body</x:v>
      </x:c>
      <x:c r="F3" s="70" t="str">
        <x:v>Year</x:v>
      </x:c>
      <x:c r="G3" s="70" t="str">
        <x:v>Source Type</x:v>
      </x:c>
      <x:c r="H3" s="70" t="str">
        <x:v>Status</x:v>
      </x:c>
      <x:c r="I3" s="70" t="str">
        <x:v>What it covers</x:v>
      </x:c>
      <x:c r="J3" s="70" t="str">
        <x:v>Why the reader benefits</x:v>
      </x:c>
      <x:c r="K3" s="70" t="str">
        <x:v>Best use</x:v>
      </x:c>
      <x:c r="L3" s="70" t="str">
        <x:v>2026 Relevance Score</x:v>
      </x:c>
      <x:c r="M3" s="70" t="str">
        <x:v>Read Priority</x:v>
      </x:c>
      <x:c r="N3" s="70" t="str">
        <x:v>Region / Scope</x:v>
      </x:c>
      <x:c r="O3" s="70" t="str">
        <x:v>Key ethical question</x:v>
      </x:c>
      <x:c r="P3" s="70" t="str">
        <x:v>Source URL</x:v>
      </x:c>
      <x:c r="Q3" s="70" t="str">
        <x:v>Notes / status</x:v>
      </x:c>
      <x:c r="R3" s="70" t="str">
        <x:v>Reader mode</x:v>
      </x:c>
    </x:row>
    <x:row r="4">
      <x:c r="A4" s="30" t="n">
        <x:v>1</x:v>
      </x:c>
      <x:c r="B4" s="30" t="str">
        <x:v>Governance &amp; Measurement</x:v>
      </x:c>
      <x:c r="C4" s="30" t="str">
        <x:v>Responsible AI state of the field</x:v>
      </x:c>
      <x:c r="D4" s="30" t="str">
        <x:v>Responsible AI | The 2026 AI Index Report</x:v>
      </x:c>
      <x:c r="E4" s="30" t="str">
        <x:v>Stanford HAI / AI Index</x:v>
      </x:c>
      <x:c r="F4" s="30" t="n">
        <x:v>2026</x:v>
      </x:c>
      <x:c r="G4" s="30" t="str">
        <x:v>Annual evidence report</x:v>
      </x:c>
      <x:c r="H4" s="30" t="str">
        <x:v>Institutional / data-driven</x:v>
      </x:c>
      <x:c r="I4" s="30" t="str">
        <x:v>Tracks AI incidents, safety evaluation, transparency, responsible-AI reporting, and the widening gap between capability and governance.</x:v>
      </x:c>
      <x:c r="J4" s="30" t="str">
        <x:v>Best current snapshot for showing that AI capability is advancing faster than safety measurement and transparency.</x:v>
      </x:c>
      <x:c r="K4" s="30" t="str">
        <x:v>Lecture opener; literature review motivation; 2026 statistics</x:v>
      </x:c>
      <x:c r="L4" s="30" t="n">
        <x:v>5</x:v>
      </x:c>
      <x:c r="M4" s="30" t="str">
        <x:v>Must Read</x:v>
      </x:c>
      <x:c r="N4" s="30" t="str">
        <x:v>Global</x:v>
      </x:c>
      <x:c r="O4" s="30" t="str">
        <x:v>Are current evaluation and governance systems keeping pace with frontier AI capability?</x:v>
      </x:c>
      <x:c r="P4" s="30" t="str">
        <x:v>https://hai.stanford.edu/ai-index/2026-ai-index-report/responsible-ai</x:v>
      </x:c>
      <x:c r="Q4" s="30" t="str">
        <x:v>2026 edition; strong source for current facts and figures.</x:v>
      </x:c>
      <x:c r="R4" s="30" t="str">
        <x:v>Read closely</x:v>
      </x:c>
    </x:row>
    <x:row r="5">
      <x:c r="A5" s="30" t="n">
        <x:v>3</x:v>
      </x:c>
      <x:c r="B5" s="30" t="str">
        <x:v>Regulation</x:v>
      </x:c>
      <x:c r="C5" s="30" t="str">
        <x:v>EU AI Act implementation</x:v>
      </x:c>
      <x:c r="D5" s="30" t="str">
        <x:v>AI Act | Shaping Europe's digital future</x:v>
      </x:c>
      <x:c r="E5" s="30" t="str">
        <x:v>European Commission</x:v>
      </x:c>
      <x:c r="F5" s="30" t="n">
        <x:v>2026</x:v>
      </x:c>
      <x:c r="G5" s="30" t="str">
        <x:v>Regulation / official guidance</x:v>
      </x:c>
      <x:c r="H5" s="30" t="str">
        <x:v>Official</x:v>
      </x:c>
      <x:c r="I5" s="30" t="str">
        <x:v>Official overview of the EU AI Act, risk-based obligations, implementation timeline, GPAI rules and transparency requirements.</x:v>
      </x:c>
      <x:c r="J5" s="30" t="str">
        <x:v>Provides the clearest bridge between ethics principles and enforceable legal duties in 2026.</x:v>
      </x:c>
      <x:c r="K5" s="30" t="str">
        <x:v>Regulation module; compliance discussion; policy comparison</x:v>
      </x:c>
      <x:c r="L5" s="30" t="n">
        <x:v>5</x:v>
      </x:c>
      <x:c r="M5" s="30" t="str">
        <x:v>Must Read</x:v>
      </x:c>
      <x:c r="N5" s="30" t="str">
        <x:v>European Union</x:v>
      </x:c>
      <x:c r="O5" s="30" t="str">
        <x:v>When should ethical expectations become legal obligations?</x:v>
      </x:c>
      <x:c r="P5" s="30" t="str">
        <x:v>https://digital-strategy.ec.europa.eu/en/policies/regulatory-framework-ai</x:v>
      </x:c>
      <x:c r="Q5" s="30" t="str">
        <x:v>General application date: 2 August 2026, with exceptions and phased provisions.</x:v>
      </x:c>
      <x:c r="R5" s="30" t="str">
        <x:v>Read closely</x:v>
      </x:c>
    </x:row>
    <x:row r="6">
      <x:c r="A6" s="30" t="n">
        <x:v>4</x:v>
      </x:c>
      <x:c r="B6" s="30" t="str">
        <x:v>Transparency &amp; Accountability</x:v>
      </x:c>
      <x:c r="C6" s="30" t="str">
        <x:v>AI-generated content disclosure</x:v>
      </x:c>
      <x:c r="D6" s="30" t="str">
        <x:v>Guidelines on transparency obligations for providers and deployers of AI systems</x:v>
      </x:c>
      <x:c r="E6" s="30" t="str">
        <x:v>European Commission</x:v>
      </x:c>
      <x:c r="F6" s="30" t="n">
        <x:v>2026</x:v>
      </x:c>
      <x:c r="G6" s="30" t="str">
        <x:v>Regulatory guidance</x:v>
      </x:c>
      <x:c r="H6" s="30" t="str">
        <x:v>Official</x:v>
      </x:c>
      <x:c r="I6" s="30" t="str">
        <x:v>Explains Article 50 duties concerning user disclosure, machine-readable marking, AI-generated content and deepfakes.</x:v>
      </x:c>
      <x:c r="J6" s="30" t="str">
        <x:v>Useful concrete example of how transparency ethics becomes a product-design requirement.</x:v>
      </x:c>
      <x:c r="K6" s="30" t="str">
        <x:v>Deepfakes; disclosure; generative-AI product design</x:v>
      </x:c>
      <x:c r="L6" s="30" t="n">
        <x:v>5</x:v>
      </x:c>
      <x:c r="M6" s="30" t="str">
        <x:v>Must Read</x:v>
      </x:c>
      <x:c r="N6" s="30" t="str">
        <x:v>European Union</x:v>
      </x:c>
      <x:c r="O6" s="30" t="str">
        <x:v>Should people always know when they are interacting with AI or seeing AI-generated content?</x:v>
      </x:c>
      <x:c r="P6" s="30" t="str">
        <x:v>https://digital-strategy.ec.europa.eu/en/policies/guidelines-transparency-ai-generated-content</x:v>
      </x:c>
      <x:c r="Q6" s="30" t="str">
        <x:v>Article 50 applies from 2 August 2026.</x:v>
      </x:c>
      <x:c r="R6" s="30" t="str">
        <x:v>Read closely</x:v>
      </x:c>
    </x:row>
    <x:row r="7">
      <x:c r="A7" s="30" t="n">
        <x:v>5</x:v>
      </x:c>
      <x:c r="B7" s="30" t="str">
        <x:v>Governance &amp; Measurement</x:v>
      </x:c>
      <x:c r="C7" s="30" t="str">
        <x:v>General-purpose AI obligations</x:v>
      </x:c>
      <x:c r="D7" s="30" t="str">
        <x:v>Guidelines for providers of general-purpose AI models</x:v>
      </x:c>
      <x:c r="E7" s="30" t="str">
        <x:v>European Commission</x:v>
      </x:c>
      <x:c r="F7" s="30" t="n">
        <x:v>2026</x:v>
      </x:c>
      <x:c r="G7" s="30" t="str">
        <x:v>Regulatory guidance</x:v>
      </x:c>
      <x:c r="H7" s="30" t="str">
        <x:v>Official</x:v>
      </x:c>
      <x:c r="I7" s="30" t="str">
        <x:v>Clarifies obligations for providers of general-purpose AI models and the Commission's enforcement role.</x:v>
      </x:c>
      <x:c r="J7" s="30" t="str">
        <x:v>Gives readers a current compliance perspective on frontier and general-purpose models rather than generic AI regulation.</x:v>
      </x:c>
      <x:c r="K7" s="30" t="str">
        <x:v>GPAI governance; provider responsibilities; seminar discussion</x:v>
      </x:c>
      <x:c r="L7" s="30" t="n">
        <x:v>5</x:v>
      </x:c>
      <x:c r="M7" s="30" t="str">
        <x:v>Strong</x:v>
      </x:c>
      <x:c r="N7" s="30" t="str">
        <x:v>European Union</x:v>
      </x:c>
      <x:c r="O7" s="30" t="str">
        <x:v>What extra duties should apply to powerful general-purpose models?</x:v>
      </x:c>
      <x:c r="P7" s="30" t="str">
        <x:v>https://digital-strategy.ec.europa.eu/en/policies/guidelines-gpai-providers</x:v>
      </x:c>
      <x:c r="Q7" s="30" t="str">
        <x:v>Commission enforcement powers apply from 2 August 2026.</x:v>
      </x:c>
      <x:c r="R7" s="30" t="str">
        <x:v>Read/skim</x:v>
      </x:c>
    </x:row>
    <x:row r="8">
      <x:c r="A8" s="30" t="n">
        <x:v>7</x:v>
      </x:c>
      <x:c r="B8" s="30" t="str">
        <x:v>India &amp; Global South</x:v>
      </x:c>
      <x:c r="C8" s="30" t="str">
        <x:v>AI safety capacity</x:v>
      </x:c>
      <x:c r="D8" s="30" t="str">
        <x:v>Safe &amp; Trusted AI Working Group</x:v>
      </x:c>
      <x:c r="E8" s="30" t="str">
        <x:v>India AI Impact Summit</x:v>
      </x:c>
      <x:c r="F8" s="30" t="n">
        <x:v>2026</x:v>
      </x:c>
      <x:c r="G8" s="30" t="str">
        <x:v>Policy / working-group output</x:v>
      </x:c>
      <x:c r="H8" s="30" t="str">
        <x:v>Official</x:v>
      </x:c>
      <x:c r="I8" s="30" t="str">
        <x:v>Focuses on AI safety capacity, evaluation, governance and incorporating Global South perspectives into international AI safety frameworks.</x:v>
      </x:c>
      <x:c r="J8" s="30" t="str">
        <x:v>Useful for understanding how safety debates are being localized beyond US/EU institutions.</x:v>
      </x:c>
      <x:c r="K8" s="30" t="str">
        <x:v>India 2026 update; global governance; discussion prompt</x:v>
      </x:c>
      <x:c r="L8" s="30" t="n">
        <x:v>5</x:v>
      </x:c>
      <x:c r="M8" s="30" t="str">
        <x:v>Strong</x:v>
      </x:c>
      <x:c r="N8" s="30" t="str">
        <x:v>India / Global South</x:v>
      </x:c>
      <x:c r="O8" s="30" t="str">
        <x:v>Who gets to define acceptable AI risk and safety standards globally?</x:v>
      </x:c>
      <x:c r="P8" s="30" t="str">
        <x:v>https://impact.indiaai.gov.in/working-groups/safe-trusted-ai</x:v>
      </x:c>
      <x:c r="Q8" s="30" t="str">
        <x:v>2026-relevant IndiaAI Impact Summit initiative.</x:v>
      </x:c>
      <x:c r="R8" s="30" t="str">
        <x:v>Read/skim</x:v>
      </x:c>
    </x:row>
    <x:row r="9">
      <x:c r="A9" s="30" t="n">
        <x:v>16</x:v>
      </x:c>
      <x:c r="B9" s="30" t="str">
        <x:v>Privacy</x:v>
      </x:c>
      <x:c r="C9" s="30" t="str">
        <x:v>Training-data leakage</x:v>
      </x:c>
      <x:c r="D9" s="30" t="str">
        <x:v>New Privacy Risks for Large Language Models</x:v>
      </x:c>
      <x:c r="E9" s="30" t="str">
        <x:v>Research paper</x:v>
      </x:c>
      <x:c r="F9" s="30" t="n">
        <x:v>2026</x:v>
      </x:c>
      <x:c r="G9" s="30" t="str">
        <x:v>Research paper</x:v>
      </x:c>
      <x:c r="H9" s="30" t="str">
        <x:v>Preprint / current research</x:v>
      </x:c>
      <x:c r="I9" s="30" t="str">
        <x:v>Examines data extraction and memorization risks, connecting privacy leakage with copyright and training-data provenance concerns.</x:v>
      </x:c>
      <x:c r="J9" s="30" t="str">
        <x:v>Useful 2026 update showing privacy risk is not limited to classic membership inference.</x:v>
      </x:c>
      <x:c r="K9" s="30" t="str">
        <x:v>Privacy section; training data; model memorization</x:v>
      </x:c>
      <x:c r="L9" s="30" t="n">
        <x:v>5</x:v>
      </x:c>
      <x:c r="M9" s="30" t="str">
        <x:v>Strong</x:v>
      </x:c>
      <x:c r="N9" s="30" t="str">
        <x:v>Research</x:v>
      </x:c>
      <x:c r="O9" s="30" t="str">
        <x:v>What does a model owe people whose private or copyrighted data it can reproduce?</x:v>
      </x:c>
      <x:c r="P9" s="30" t="str">
        <x:v>https://arxiv.org/html/2509.14278v2</x:v>
      </x:c>
      <x:c r="Q9" s="30" t="str">
        <x:v>Version available Jan 2026.</x:v>
      </x:c>
      <x:c r="R9" s="30" t="str">
        <x:v>Read/skim</x:v>
      </x:c>
    </x:row>
    <x:row r="10">
      <x:c r="A10" s="30" t="n">
        <x:v>19</x:v>
      </x:c>
      <x:c r="B10" s="30" t="str">
        <x:v>Privacy</x:v>
      </x:c>
      <x:c r="C10" s="30" t="str">
        <x:v>Agent memory and contextual leakage</x:v>
      </x:c>
      <x:c r="D10" s="30" t="str">
        <x:v>Spore: Efficient and Training-Free Privacy Extraction Attack on LLM Agent Memory</x:v>
      </x:c>
      <x:c r="E10" s="30" t="str">
        <x:v>Research paper</x:v>
      </x:c>
      <x:c r="F10" s="30" t="n">
        <x:v>2026</x:v>
      </x:c>
      <x:c r="G10" s="30" t="str">
        <x:v>Security research</x:v>
      </x:c>
      <x:c r="H10" s="30" t="str">
        <x:v>Preprint / current research</x:v>
      </x:c>
      <x:c r="I10" s="30" t="str">
        <x:v>Studies privacy leakage from inference-time contextual memory in LLM agents, beyond training-data privacy.</x:v>
      </x:c>
      <x:c r="J10" s="30" t="str">
        <x:v>Important for 2026 because persistent AI assistants and agents create a new privacy attack surface.</x:v>
      </x:c>
      <x:c r="K10" s="30" t="str">
        <x:v>Agentic AI; memory privacy; security discussion</x:v>
      </x:c>
      <x:c r="L10" s="30" t="n">
        <x:v>5</x:v>
      </x:c>
      <x:c r="M10" s="30" t="str">
        <x:v>Specialist</x:v>
      </x:c>
      <x:c r="N10" s="30" t="str">
        <x:v>Research / agents</x:v>
      </x:c>
      <x:c r="O10" s="30" t="str">
        <x:v>What privacy risks appear when AI systems remember and act on user context over time?</x:v>
      </x:c>
      <x:c r="P10" s="30" t="str">
        <x:v>https://arxiv.org/html/2604.23711v1</x:v>
      </x:c>
      <x:c r="Q10" s="30" t="str">
        <x:v>2026 agent-memory privacy paper.</x:v>
      </x:c>
      <x:c r="R10" s="30" t="str">
        <x:v>Reference as needed</x:v>
      </x:c>
    </x:row>
    <x:row r="11">
      <x:c r="A11" s="30" t="n">
        <x:v>20</x:v>
      </x:c>
      <x:c r="B11" s="30" t="str">
        <x:v>Persuasion &amp; Manipulation</x:v>
      </x:c>
      <x:c r="C11" s="30" t="str">
        <x:v>Persuasion landscape</x:v>
      </x:c>
      <x:c r="D11" s="30" t="str">
        <x:v>Persuasion with Large Language Models: A Survey of Empirical Studies</x:v>
      </x:c>
      <x:c r="E11" s="30" t="str">
        <x:v>Research survey</x:v>
      </x:c>
      <x:c r="F11" s="30" t="n">
        <x:v>2026</x:v>
      </x:c>
      <x:c r="G11" s="30" t="str">
        <x:v>Survey</x:v>
      </x:c>
      <x:c r="H11" s="30" t="str">
        <x:v>Preprint / research</x:v>
      </x:c>
      <x:c r="I11" s="30" t="str">
        <x:v>Reviews empirical evidence on automated, personalized and interactive LLM persuasion and its effects on attitudes and behavior.</x:v>
      </x:c>
      <x:c r="J11" s="30" t="str">
        <x:v>A direct entry point into one of the most important newer AI-ethics issues.</x:v>
      </x:c>
      <x:c r="K11" s="30" t="str">
        <x:v>Manipulation lecture; social influence; governance</x:v>
      </x:c>
      <x:c r="L11" s="30" t="n">
        <x:v>5</x:v>
      </x:c>
      <x:c r="M11" s="30" t="str">
        <x:v>Must Read</x:v>
      </x:c>
      <x:c r="N11" s="30" t="str">
        <x:v>Research</x:v>
      </x:c>
      <x:c r="O11" s="30" t="str">
        <x:v>When does helpful persuasion become manipulation or undue influence?</x:v>
      </x:c>
      <x:c r="P11" s="30" t="str">
        <x:v>https://arxiv.org/html/2411.06837v2</x:v>
      </x:c>
      <x:c r="Q11" s="30" t="str">
        <x:v>Updated Apr 2026.</x:v>
      </x:c>
      <x:c r="R11" s="30" t="str">
        <x:v>Read closely</x:v>
      </x:c>
    </x:row>
    <x:row r="12">
      <x:c r="A12" s="30" t="n">
        <x:v>22</x:v>
      </x:c>
      <x:c r="B12" s="30" t="str">
        <x:v>Persuasion &amp; Manipulation</x:v>
      </x:c>
      <x:c r="C12" s="30" t="str">
        <x:v>Harmful influence evaluation</x:v>
      </x:c>
      <x:c r="D12" s="30" t="str">
        <x:v>Evaluating Language Models for Harmful Manipulation</x:v>
      </x:c>
      <x:c r="E12" s="30" t="str">
        <x:v>Akbulut et al.</x:v>
      </x:c>
      <x:c r="F12" s="30" t="n">
        <x:v>2026</x:v>
      </x:c>
      <x:c r="G12" s="30" t="str">
        <x:v>Human-subject evaluation</x:v>
      </x:c>
      <x:c r="H12" s="30" t="str">
        <x:v>Research / preprint</x:v>
      </x:c>
      <x:c r="I12" s="30" t="str">
        <x:v>Introduces a framework for measuring harmful manipulation across public policy, finance and health with participants from multiple countries.</x:v>
      </x:c>
      <x:c r="J12" s="30" t="str">
        <x:v>Shows how manipulation can be operationalized and evaluated across consequential domains.</x:v>
      </x:c>
      <x:c r="K12" s="30" t="str">
        <x:v>Evaluation design; high-stakes AI; cross-country analysis</x:v>
      </x:c>
      <x:c r="L12" s="30" t="n">
        <x:v>5</x:v>
      </x:c>
      <x:c r="M12" s="30" t="str">
        <x:v>Strong</x:v>
      </x:c>
      <x:c r="N12" s="30" t="str">
        <x:v>US / UK / India</x:v>
      </x:c>
      <x:c r="O12" s="30" t="str">
        <x:v>How can harmful manipulation be measured before deployment?</x:v>
      </x:c>
      <x:c r="P12" s="30" t="str">
        <x:v>https://arxiv.org/pdf/2603.25326</x:v>
      </x:c>
      <x:c r="Q12" s="30" t="str">
        <x:v>Includes 10,101 participants across three locales.</x:v>
      </x:c>
      <x:c r="R12" s="30" t="str">
        <x:v>Read/skim</x:v>
      </x:c>
    </x:row>
    <x:row r="13">
      <x:c r="A13" s="30" t="n">
        <x:v>23</x:v>
      </x:c>
      <x:c r="B13" s="30" t="str">
        <x:v>Truthfulness &amp; Deception</x:v>
      </x:c>
      <x:c r="C13" s="30" t="str">
        <x:v>Sycophancy to strategic deception</x:v>
      </x:c>
      <x:c r="D13" s="30" t="str">
        <x:v>From Sycophancy to Deception: A Unified Taxonomy for Misleading LLM Behavior</x:v>
      </x:c>
      <x:c r="E13" s="30" t="str">
        <x:v>Research paper</x:v>
      </x:c>
      <x:c r="F13" s="30" t="n">
        <x:v>2026</x:v>
      </x:c>
      <x:c r="G13" s="30" t="str">
        <x:v>Taxonomy / research</x:v>
      </x:c>
      <x:c r="H13" s="30" t="str">
        <x:v>Preprint / current research</x:v>
      </x:c>
      <x:c r="I13" s="30" t="str">
        <x:v>Unifies hallucination, omission, pragmatic distortion, sycophancy and strategic deception under a common taxonomy of misleading behavior.</x:v>
      </x:c>
      <x:c r="J13" s="30" t="str">
        <x:v>Helps readers avoid treating all misleading model outputs as the same failure mode.</x:v>
      </x:c>
      <x:c r="K13" s="30" t="str">
        <x:v>Conceptual framework; deception; research taxonomy</x:v>
      </x:c>
      <x:c r="L13" s="30" t="n">
        <x:v>5</x:v>
      </x:c>
      <x:c r="M13" s="30" t="str">
        <x:v>Strong</x:v>
      </x:c>
      <x:c r="N13" s="30" t="str">
        <x:v>Research</x:v>
      </x:c>
      <x:c r="O13" s="30" t="str">
        <x:v>Does intent or goal-directedness change how ethically serious misleading AI behavior is?</x:v>
      </x:c>
      <x:c r="P13" s="30" t="str">
        <x:v>https://arxiv.org/html/2604.04788</x:v>
      </x:c>
      <x:c r="Q13" s="30" t="str">
        <x:v>Current 2026 taxonomy.</x:v>
      </x:c>
      <x:c r="R13" s="30" t="str">
        <x:v>Read/skim</x:v>
      </x:c>
    </x:row>
    <x:row r="14">
      <x:c r="A14" s="30" t="n">
        <x:v>25</x:v>
      </x:c>
      <x:c r="B14" s="30" t="str">
        <x:v>Human-AI Relationships</x:v>
      </x:c>
      <x:c r="C14" s="30" t="str">
        <x:v>Emotional support</x:v>
      </x:c>
      <x:c r="D14" s="30" t="str">
        <x:v>Emotional Support with Conversational AI: Talking to Machines About Life</x:v>
      </x:c>
      <x:c r="E14" s="30" t="str">
        <x:v>Huang, Stodolska &amp; Sultana</x:v>
      </x:c>
      <x:c r="F14" s="30" t="n">
        <x:v>2026</x:v>
      </x:c>
      <x:c r="G14" s="30" t="str">
        <x:v>Qualitative HCI research</x:v>
      </x:c>
      <x:c r="H14" s="30" t="str">
        <x:v>Research / preprint</x:v>
      </x:c>
      <x:c r="I14" s="30" t="str">
        <x:v>Analyzes how emotional support is co-constructed with AI companions and tensions such as support vs dependency and validation vs delusion.</x:v>
      </x:c>
      <x:c r="J14" s="30" t="str">
        <x:v>Provides nuanced evidence beyond simplistic claims that AI companions are either beneficial or harmful.</x:v>
      </x:c>
      <x:c r="K14" s="30" t="str">
        <x:v>HCI ethics; mental-health-adjacent discussion; companionship</x:v>
      </x:c>
      <x:c r="L14" s="30" t="n">
        <x:v>5</x:v>
      </x:c>
      <x:c r="M14" s="30" t="str">
        <x:v>Must Read</x:v>
      </x:c>
      <x:c r="N14" s="30" t="str">
        <x:v>Research</x:v>
      </x:c>
      <x:c r="O14" s="30" t="str">
        <x:v>How should AI offer emotional support without reinforcing dependency or harmful beliefs?</x:v>
      </x:c>
      <x:c r="P14" s="30" t="str">
        <x:v>https://arxiv.org/html/2603.22618v1</x:v>
      </x:c>
      <x:c r="Q14" s="30" t="str">
        <x:v>2026 HCI-focused research.</x:v>
      </x:c>
      <x:c r="R14" s="30" t="str">
        <x:v>Read closely</x:v>
      </x:c>
    </x:row>
    <x:row r="15">
      <x:c r="A15" s="30" t="n">
        <x:v>26</x:v>
      </x:c>
      <x:c r="B15" s="30" t="str">
        <x:v>Human-AI Relationships</x:v>
      </x:c>
      <x:c r="C15" s="30" t="str">
        <x:v>Companion-app design</x:v>
      </x:c>
      <x:c r="D15" s="30" t="str">
        <x:v>An Evaluation of AI Companion Apps</x:v>
      </x:c>
      <x:c r="E15" s="30" t="str">
        <x:v>Research paper</x:v>
      </x:c>
      <x:c r="F15" s="30" t="n">
        <x:v>2026</x:v>
      </x:c>
      <x:c r="G15" s="30" t="str">
        <x:v>Empirical audit</x:v>
      </x:c>
      <x:c r="H15" s="30" t="str">
        <x:v>Research / preprint</x:v>
      </x:c>
      <x:c r="I15" s="30" t="str">
        <x:v>Audits popular AI companion apps for dark patterns, anthropomorphism, stereotypes, erotica and technical issues.</x:v>
      </x:c>
      <x:c r="J15" s="30" t="str">
        <x:v>Connects ethical risk to actual interface and monetization design choices, not only model behavior.</x:v>
      </x:c>
      <x:c r="K15" s="30" t="str">
        <x:v>Product ethics; dark patterns; companion AI</x:v>
      </x:c>
      <x:c r="L15" s="30" t="n">
        <x:v>5</x:v>
      </x:c>
      <x:c r="M15" s="30" t="str">
        <x:v>Must Read</x:v>
      </x:c>
      <x:c r="N15" s="30" t="str">
        <x:v>EU / UK market</x:v>
      </x:c>
      <x:c r="O15" s="30" t="str">
        <x:v>Can product incentives push AI companions toward manipulative engagement?</x:v>
      </x:c>
      <x:c r="P15" s="30" t="str">
        <x:v>https://arxiv.org/html/2605.08093v2</x:v>
      </x:c>
      <x:c r="Q15" s="30" t="str">
        <x:v>Version updated Aug 2026.</x:v>
      </x:c>
      <x:c r="R15" s="30" t="str">
        <x:v>Read closely</x:v>
      </x:c>
    </x:row>
    <x:row r="16">
      <x:c r="A16" s="30" t="n">
        <x:v>27</x:v>
      </x:c>
      <x:c r="B16" s="30" t="str">
        <x:v>Human-AI Relationships</x:v>
      </x:c>
      <x:c r="C16" s="30" t="str">
        <x:v>Emotional dependence</x:v>
      </x:c>
      <x:c r="D16" s="30" t="str">
        <x:v>Stumbling Into AI Emotional Dependence: How Routine AI Interactions Reshape Human Connection</x:v>
      </x:c>
      <x:c r="E16" s="30" t="str">
        <x:v>Shi et al.</x:v>
      </x:c>
      <x:c r="F16" s="30" t="n">
        <x:v>2026</x:v>
      </x:c>
      <x:c r="G16" s="30" t="str">
        <x:v>Perspective / evidence synthesis</x:v>
      </x:c>
      <x:c r="H16" s="30" t="str">
        <x:v>Research / preprint</x:v>
      </x:c>
      <x:c r="I16" s="30" t="str">
        <x:v>Argues that emotional dependence can emerge incidentally in general-purpose AI use and may alter future preferences for human vs AI support.</x:v>
      </x:c>
      <x:c r="J16" s="30" t="str">
        <x:v>Highlights cumulative interaction effects that one-shot safety evaluations can miss.</x:v>
      </x:c>
      <x:c r="K16" s="30" t="str">
        <x:v>Long-term interaction ethics; product policy; research gaps</x:v>
      </x:c>
      <x:c r="L16" s="30" t="n">
        <x:v>5</x:v>
      </x:c>
      <x:c r="M16" s="30" t="str">
        <x:v>Must Read</x:v>
      </x:c>
      <x:c r="N16" s="30" t="str">
        <x:v>Research</x:v>
      </x:c>
      <x:c r="O16" s="30" t="str">
        <x:v>Should general-purpose assistants be evaluated for long-term relational effects, not just single-turn harms?</x:v>
      </x:c>
      <x:c r="P16" s="30" t="str">
        <x:v>https://arxiv.org/abs/2606.04150</x:v>
      </x:c>
      <x:c r="Q16" s="30" t="str">
        <x:v>Includes synthesis of longitudinal evidence.</x:v>
      </x:c>
      <x:c r="R16" s="30" t="str">
        <x:v>Read closely</x:v>
      </x:c>
    </x:row>
    <x:row r="17">
      <x:c r="A17" s="30" t="n">
        <x:v>28</x:v>
      </x:c>
      <x:c r="B17" s="30" t="str">
        <x:v>Human-AI Relationships</x:v>
      </x:c>
      <x:c r="C17" s="30" t="str">
        <x:v>Identity and parasocial interaction</x:v>
      </x:c>
      <x:c r="D17" s="30" t="str">
        <x:v>Negotiating Digital Identities with AI Companions</x:v>
      </x:c>
      <x:c r="E17" s="30" t="str">
        <x:v>Research paper</x:v>
      </x:c>
      <x:c r="F17" s="30" t="n">
        <x:v>2026</x:v>
      </x:c>
      <x:c r="G17" s="30" t="str">
        <x:v>HCI / computational social science</x:v>
      </x:c>
      <x:c r="H17" s="30" t="str">
        <x:v>Research / preprint</x:v>
      </x:c>
      <x:c r="I17" s="30" t="str">
        <x:v>Studies identity construction and negotiation in AI-companion communities using large-scale online discussions.</x:v>
      </x:c>
      <x:c r="J17" s="30" t="str">
        <x:v>Useful for understanding anthropomorphism and dependence as social processes rather than merely UI bugs.</x:v>
      </x:c>
      <x:c r="K17" s="30" t="str">
        <x:v>HCI seminar; identity; anthropomorphism</x:v>
      </x:c>
      <x:c r="L17" s="30" t="n">
        <x:v>5</x:v>
      </x:c>
      <x:c r="M17" s="30" t="str">
        <x:v>Specialist</x:v>
      </x:c>
      <x:c r="N17" s="30" t="str">
        <x:v>Research</x:v>
      </x:c>
      <x:c r="O17" s="30" t="str">
        <x:v>How do AI companions reshape users' identities, expectations and social relationships?</x:v>
      </x:c>
      <x:c r="P17" s="30" t="str">
        <x:v>https://arxiv.org/html/2601.12181v1</x:v>
      </x:c>
      <x:c r="Q17" s="30" t="str">
        <x:v>Analyzes 22,374 online discussions.</x:v>
      </x:c>
      <x:c r="R17" s="30" t="str">
        <x:v>Reference as needed</x:v>
      </x:c>
    </x:row>
    <x:row r="18">
      <x:c r="A18" s="30" t="n">
        <x:v>29</x:v>
      </x:c>
      <x:c r="B18" s="30" t="str">
        <x:v>Agentic AI</x:v>
      </x:c>
      <x:c r="C18" s="30" t="str">
        <x:v>Governance of autonomous agents</x:v>
      </x:c>
      <x:c r="D18" s="30" t="str">
        <x:v>Towards Agentic AI Governance: A Preliminary Assessment</x:v>
      </x:c>
      <x:c r="E18" s="30" t="str">
        <x:v>Raji &amp; Bashir</x:v>
      </x:c>
      <x:c r="F18" s="30" t="n">
        <x:v>2026</x:v>
      </x:c>
      <x:c r="G18" s="30" t="str">
        <x:v>Systematic review</x:v>
      </x:c>
      <x:c r="H18" s="30" t="str">
        <x:v>Research / preprint</x:v>
      </x:c>
      <x:c r="I18" s="30" t="str">
        <x:v>Reviews governance priorities, mechanisms and stakeholder roles for AI systems that autonomously plan and execute tasks.</x:v>
      </x:c>
      <x:c r="J18" s="30" t="str">
        <x:v>Important 2026 bridge from chatbot ethics to systems that can act in the world.</x:v>
      </x:c>
      <x:c r="K18" s="30" t="str">
        <x:v>Agentic AI governance; research agenda; seminar</x:v>
      </x:c>
      <x:c r="L18" s="30" t="n">
        <x:v>5</x:v>
      </x:c>
      <x:c r="M18" s="30" t="str">
        <x:v>Must Read</x:v>
      </x:c>
      <x:c r="N18" s="30" t="str">
        <x:v>Research</x:v>
      </x:c>
      <x:c r="O18" s="30" t="str">
        <x:v>How should accountability change when AI can plan, call tools and execute actions autonomously?</x:v>
      </x:c>
      <x:c r="P18" s="30" t="str">
        <x:v>https://arxiv.org/abs/2607.07612</x:v>
      </x:c>
      <x:c r="Q18" s="30" t="str">
        <x:v>Published Jul 2026.</x:v>
      </x:c>
      <x:c r="R18" s="30" t="str">
        <x:v>Read closely</x:v>
      </x:c>
    </x:row>
    <x:row r="19">
      <x:c r="A19" s="30" t="n">
        <x:v>30</x:v>
      </x:c>
      <x:c r="B19" s="30" t="str">
        <x:v>Agentic AI</x:v>
      </x:c>
      <x:c r="C19" s="30" t="str">
        <x:v>Security and governance practice</x:v>
      </x:c>
      <x:c r="D19" s="30" t="str">
        <x:v>State of Agentic AI Security and Governance</x:v>
      </x:c>
      <x:c r="E19" s="30" t="str">
        <x:v>OWASP GenAI Security Project</x:v>
      </x:c>
      <x:c r="F19" s="30" t="n">
        <x:v>2026</x:v>
      </x:c>
      <x:c r="G19" s="30" t="str">
        <x:v>Security / governance report</x:v>
      </x:c>
      <x:c r="H19" s="30" t="str">
        <x:v>Practitioner standard</x:v>
      </x:c>
      <x:c r="I19" s="30" t="str">
        <x:v>Covers governance and security issues for autonomous AI systems, including controls, oversight and operational risk.</x:v>
      </x:c>
      <x:c r="J19" s="30" t="str">
        <x:v>Gives practitioners a deployment-oriented complement to academic governance work.</x:v>
      </x:c>
      <x:c r="K19" s="30" t="str">
        <x:v>Agent security; enterprise governance; checklist design</x:v>
      </x:c>
      <x:c r="L19" s="30" t="n">
        <x:v>5</x:v>
      </x:c>
      <x:c r="M19" s="30" t="str">
        <x:v>Strong</x:v>
      </x:c>
      <x:c r="N19" s="30" t="str">
        <x:v>Global / industry</x:v>
      </x:c>
      <x:c r="O19" s="30" t="str">
        <x:v>What controls are necessary when agents receive tools, permissions and persistent access?</x:v>
      </x:c>
      <x:c r="P19" s="30" t="str">
        <x:v>https://genai.owasp.org/resource/state-of-agentic-ai-security-and-governance/</x:v>
      </x:c>
      <x:c r="Q19" s="30" t="str">
        <x:v>Practitioner-focused resource.</x:v>
      </x:c>
      <x:c r="R19" s="30" t="str">
        <x:v>Read/skim</x:v>
      </x:c>
    </x:row>
    <x:row r="20">
      <x:c r="A20" s="30" t="n">
        <x:v>31</x:v>
      </x:c>
      <x:c r="B20" s="30" t="str">
        <x:v>Education &amp; Research</x:v>
      </x:c>
      <x:c r="C20" s="30" t="str">
        <x:v>AI in education ethics</x:v>
      </x:c>
      <x:c r="D20" s="30" t="str">
        <x:v>AI and the future of education: Disruptions, dilemmas and directions</x:v>
      </x:c>
      <x:c r="E20" s="30" t="str">
        <x:v>UNESCO</x:v>
      </x:c>
      <x:c r="F20" s="30" t="n">
        <x:v>2026</x:v>
      </x:c>
      <x:c r="G20" s="30" t="str">
        <x:v>Policy / anthology</x:v>
      </x:c>
      <x:c r="H20" s="30" t="str">
        <x:v>Official / expert collection</x:v>
      </x:c>
      <x:c r="I20" s="30" t="str">
        <x:v>Explores philosophical, ethical and pedagogical dilemmas created by AI in education and human-machine co-creation.</x:v>
      </x:c>
      <x:c r="J20" s="30" t="str">
        <x:v>Useful domain case study showing how general AI-ethics principles change in a real institution such as education.</x:v>
      </x:c>
      <x:c r="K20" s="30" t="str">
        <x:v>Education case study; classroom discussion; policy</x:v>
      </x:c>
      <x:c r="L20" s="30" t="n">
        <x:v>5</x:v>
      </x:c>
      <x:c r="M20" s="30" t="str">
        <x:v>Strong</x:v>
      </x:c>
      <x:c r="N20" s="30" t="str">
        <x:v>Global</x:v>
      </x:c>
      <x:c r="O20" s="30" t="str">
        <x:v>How should education preserve human agency, fairness and learning integrity in an AI-rich environment?</x:v>
      </x:c>
      <x:c r="P20" s="30" t="str">
        <x:v>https://www.unesco.org/en/articles/ai-and-future-education-disruptions-dilemmas-and-directions</x:v>
      </x:c>
      <x:c r="Q20" s="30" t="str">
        <x:v>Published Jan 2026.</x:v>
      </x:c>
      <x:c r="R20" s="30" t="str">
        <x:v>Read/skim</x:v>
      </x:c>
    </x:row>
  </x:sheetData>
  <x:mergeCells>
    <x:mergeCell ref="A1:R1"/>
  </x:mergeCells>
  <x:pageMargins left="0.7" right="0.7" top="0.75" bottom="0.75" header="0.3" footer="0.3"/>
  <x:tableParts count="1">
    <x:tablePart xmlns:r="http://schemas.openxmlformats.org/officeDocument/2006/relationships" r:id="Rb484d0ac94c0435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4" hidden="0" customWidth="1"/>
    <x:col min="3" max="3" width="28" hidden="0" customWidth="1"/>
    <x:col min="4" max="4" width="45" hidden="0" customWidth="1"/>
    <x:col min="5" max="5" width="28" hidden="0" customWidth="1"/>
    <x:col min="6" max="6" width="10" hidden="0" customWidth="1"/>
    <x:col min="7" max="7" width="22" hidden="0" customWidth="1"/>
    <x:col min="8" max="8" width="24" hidden="0" customWidth="1"/>
    <x:col min="9" max="9" width="46" hidden="0" customWidth="1"/>
    <x:col min="10" max="10" width="46" hidden="0" customWidth="1"/>
    <x:col min="11" max="11" width="34" hidden="0" customWidth="1"/>
    <x:col min="12" max="12" width="14" hidden="0" customWidth="1"/>
    <x:col min="13" max="13" width="15" hidden="0" customWidth="1"/>
    <x:col min="14" max="14" width="20" hidden="0" customWidth="1"/>
    <x:col min="15" max="15" width="42" hidden="0" customWidth="1"/>
    <x:col min="16" max="16" width="42" hidden="0" customWidth="1"/>
    <x:col min="17" max="17" width="34" hidden="0" customWidth="1"/>
    <x:col min="18" max="18" width="16" hidden="0" customWidth="1"/>
  </x:cols>
  <x:sheetData>
    <x:row r="1" ht="30" customHeight="1">
      <x:c r="A1" s="64" t="str">
        <x:v>Policy, Governance &amp; Regulation</x:v>
      </x:c>
      <x:c r="B1" s="64"/>
      <x:c r="C1" s="64"/>
      <x:c r="D1" s="64"/>
      <x:c r="E1" s="64"/>
      <x:c r="F1" s="64"/>
      <x:c r="G1" s="64"/>
      <x:c r="H1" s="64"/>
      <x:c r="I1" s="64"/>
      <x:c r="J1" s="64"/>
      <x:c r="K1" s="64"/>
      <x:c r="L1" s="64"/>
      <x:c r="M1" s="64"/>
      <x:c r="N1" s="64"/>
      <x:c r="O1" s="64"/>
      <x:c r="P1" s="64"/>
      <x:c r="Q1" s="64"/>
      <x:c r="R1" s="64"/>
    </x:row>
    <x:row r="3" ht="28" customHeight="1">
      <x:c r="A3" s="70" t="str">
        <x:v>ID</x:v>
      </x:c>
      <x:c r="B3" s="70" t="str">
        <x:v>Theme</x:v>
      </x:c>
      <x:c r="C3" s="70" t="str">
        <x:v>Subtopic</x:v>
      </x:c>
      <x:c r="D3" s="70" t="str">
        <x:v>Title</x:v>
      </x:c>
      <x:c r="E3" s="70" t="str">
        <x:v>Author / Body</x:v>
      </x:c>
      <x:c r="F3" s="70" t="str">
        <x:v>Year</x:v>
      </x:c>
      <x:c r="G3" s="70" t="str">
        <x:v>Source Type</x:v>
      </x:c>
      <x:c r="H3" s="70" t="str">
        <x:v>Status</x:v>
      </x:c>
      <x:c r="I3" s="70" t="str">
        <x:v>What it covers</x:v>
      </x:c>
      <x:c r="J3" s="70" t="str">
        <x:v>Why the reader benefits</x:v>
      </x:c>
      <x:c r="K3" s="70" t="str">
        <x:v>Best use</x:v>
      </x:c>
      <x:c r="L3" s="70" t="str">
        <x:v>2026 Relevance Score</x:v>
      </x:c>
      <x:c r="M3" s="70" t="str">
        <x:v>Read Priority</x:v>
      </x:c>
      <x:c r="N3" s="70" t="str">
        <x:v>Region / Scope</x:v>
      </x:c>
      <x:c r="O3" s="70" t="str">
        <x:v>Key ethical question</x:v>
      </x:c>
      <x:c r="P3" s="70" t="str">
        <x:v>Source URL</x:v>
      </x:c>
      <x:c r="Q3" s="70" t="str">
        <x:v>Notes / status</x:v>
      </x:c>
      <x:c r="R3" s="70" t="str">
        <x:v>Reader mode</x:v>
      </x:c>
    </x:row>
    <x:row r="4">
      <x:c r="A4" s="30" t="n">
        <x:v>1</x:v>
      </x:c>
      <x:c r="B4" s="30" t="str">
        <x:v>Governance &amp; Measurement</x:v>
      </x:c>
      <x:c r="C4" s="30" t="str">
        <x:v>Responsible AI state of the field</x:v>
      </x:c>
      <x:c r="D4" s="30" t="str">
        <x:v>Responsible AI | The 2026 AI Index Report</x:v>
      </x:c>
      <x:c r="E4" s="30" t="str">
        <x:v>Stanford HAI / AI Index</x:v>
      </x:c>
      <x:c r="F4" s="30" t="n">
        <x:v>2026</x:v>
      </x:c>
      <x:c r="G4" s="30" t="str">
        <x:v>Annual evidence report</x:v>
      </x:c>
      <x:c r="H4" s="30" t="str">
        <x:v>Institutional / data-driven</x:v>
      </x:c>
      <x:c r="I4" s="30" t="str">
        <x:v>Tracks AI incidents, safety evaluation, transparency, responsible-AI reporting, and the widening gap between capability and governance.</x:v>
      </x:c>
      <x:c r="J4" s="30" t="str">
        <x:v>Best current snapshot for showing that AI capability is advancing faster than safety measurement and transparency.</x:v>
      </x:c>
      <x:c r="K4" s="30" t="str">
        <x:v>Lecture opener; literature review motivation; 2026 statistics</x:v>
      </x:c>
      <x:c r="L4" s="30" t="n">
        <x:v>5</x:v>
      </x:c>
      <x:c r="M4" s="30" t="str">
        <x:v>Must Read</x:v>
      </x:c>
      <x:c r="N4" s="30" t="str">
        <x:v>Global</x:v>
      </x:c>
      <x:c r="O4" s="30" t="str">
        <x:v>Are current evaluation and governance systems keeping pace with frontier AI capability?</x:v>
      </x:c>
      <x:c r="P4" s="30" t="str">
        <x:v>https://hai.stanford.edu/ai-index/2026-ai-index-report/responsible-ai</x:v>
      </x:c>
      <x:c r="Q4" s="30" t="str">
        <x:v>2026 edition; strong source for current facts and figures.</x:v>
      </x:c>
      <x:c r="R4" s="30" t="str">
        <x:v>Read closely</x:v>
      </x:c>
    </x:row>
    <x:row r="5">
      <x:c r="A5" s="30" t="n">
        <x:v>2</x:v>
      </x:c>
      <x:c r="B5" s="30" t="str">
        <x:v>Transparency &amp; Accountability</x:v>
      </x:c>
      <x:c r="C5" s="30" t="str">
        <x:v>Foundation model transparency</x:v>
      </x:c>
      <x:c r="D5" s="30" t="str">
        <x:v>The 2025 Foundation Model Transparency Index</x:v>
      </x:c>
      <x:c r="E5" s="30" t="str">
        <x:v>Wan et al. / Stanford CRFM</x:v>
      </x:c>
      <x:c r="F5" s="30" t="n">
        <x:v>2025</x:v>
      </x:c>
      <x:c r="G5" s="30" t="str">
        <x:v>Research report / index</x:v>
      </x:c>
      <x:c r="H5" s="30" t="str">
        <x:v>Research report</x:v>
      </x:c>
      <x:c r="I5" s="30" t="str">
        <x:v>Scores major foundation-model developers on disclosures covering data, compute, risk mitigation, usage and downstream impacts.</x:v>
      </x:c>
      <x:c r="J5" s="30" t="str">
        <x:v>Lets readers move from vague calls for transparency to measurable disclosure dimensions and compare developers.</x:v>
      </x:c>
      <x:c r="K5" s="30" t="str">
        <x:v>Transparency section; accountability case study; assignment</x:v>
      </x:c>
      <x:c r="L5" s="30" t="n">
        <x:v>4</x:v>
      </x:c>
      <x:c r="M5" s="30" t="str">
        <x:v>Must Read</x:v>
      </x:c>
      <x:c r="N5" s="30" t="str">
        <x:v>Global / industry</x:v>
      </x:c>
      <x:c r="O5" s="30" t="str">
        <x:v>What information should frontier-model developers be required to disclose?</x:v>
      </x:c>
      <x:c r="P5" s="30" t="str">
        <x:v>https://arxiv.org/abs/2512.10169</x:v>
      </x:c>
      <x:c r="Q5" s="30" t="str">
        <x:v>Average score fell from 58/100 in 2024 to 40/100 in 2025.</x:v>
      </x:c>
      <x:c r="R5" s="30" t="str">
        <x:v>Read closely</x:v>
      </x:c>
    </x:row>
    <x:row r="6">
      <x:c r="A6" s="30" t="n">
        <x:v>3</x:v>
      </x:c>
      <x:c r="B6" s="30" t="str">
        <x:v>Regulation</x:v>
      </x:c>
      <x:c r="C6" s="30" t="str">
        <x:v>EU AI Act implementation</x:v>
      </x:c>
      <x:c r="D6" s="30" t="str">
        <x:v>AI Act | Shaping Europe's digital future</x:v>
      </x:c>
      <x:c r="E6" s="30" t="str">
        <x:v>European Commission</x:v>
      </x:c>
      <x:c r="F6" s="30" t="n">
        <x:v>2026</x:v>
      </x:c>
      <x:c r="G6" s="30" t="str">
        <x:v>Regulation / official guidance</x:v>
      </x:c>
      <x:c r="H6" s="30" t="str">
        <x:v>Official</x:v>
      </x:c>
      <x:c r="I6" s="30" t="str">
        <x:v>Official overview of the EU AI Act, risk-based obligations, implementation timeline, GPAI rules and transparency requirements.</x:v>
      </x:c>
      <x:c r="J6" s="30" t="str">
        <x:v>Provides the clearest bridge between ethics principles and enforceable legal duties in 2026.</x:v>
      </x:c>
      <x:c r="K6" s="30" t="str">
        <x:v>Regulation module; compliance discussion; policy comparison</x:v>
      </x:c>
      <x:c r="L6" s="30" t="n">
        <x:v>5</x:v>
      </x:c>
      <x:c r="M6" s="30" t="str">
        <x:v>Must Read</x:v>
      </x:c>
      <x:c r="N6" s="30" t="str">
        <x:v>European Union</x:v>
      </x:c>
      <x:c r="O6" s="30" t="str">
        <x:v>When should ethical expectations become legal obligations?</x:v>
      </x:c>
      <x:c r="P6" s="30" t="str">
        <x:v>https://digital-strategy.ec.europa.eu/en/policies/regulatory-framework-ai</x:v>
      </x:c>
      <x:c r="Q6" s="30" t="str">
        <x:v>General application date: 2 August 2026, with exceptions and phased provisions.</x:v>
      </x:c>
      <x:c r="R6" s="30" t="str">
        <x:v>Read closely</x:v>
      </x:c>
    </x:row>
    <x:row r="7">
      <x:c r="A7" s="30" t="n">
        <x:v>4</x:v>
      </x:c>
      <x:c r="B7" s="30" t="str">
        <x:v>Transparency &amp; Accountability</x:v>
      </x:c>
      <x:c r="C7" s="30" t="str">
        <x:v>AI-generated content disclosure</x:v>
      </x:c>
      <x:c r="D7" s="30" t="str">
        <x:v>Guidelines on transparency obligations for providers and deployers of AI systems</x:v>
      </x:c>
      <x:c r="E7" s="30" t="str">
        <x:v>European Commission</x:v>
      </x:c>
      <x:c r="F7" s="30" t="n">
        <x:v>2026</x:v>
      </x:c>
      <x:c r="G7" s="30" t="str">
        <x:v>Regulatory guidance</x:v>
      </x:c>
      <x:c r="H7" s="30" t="str">
        <x:v>Official</x:v>
      </x:c>
      <x:c r="I7" s="30" t="str">
        <x:v>Explains Article 50 duties concerning user disclosure, machine-readable marking, AI-generated content and deepfakes.</x:v>
      </x:c>
      <x:c r="J7" s="30" t="str">
        <x:v>Useful concrete example of how transparency ethics becomes a product-design requirement.</x:v>
      </x:c>
      <x:c r="K7" s="30" t="str">
        <x:v>Deepfakes; disclosure; generative-AI product design</x:v>
      </x:c>
      <x:c r="L7" s="30" t="n">
        <x:v>5</x:v>
      </x:c>
      <x:c r="M7" s="30" t="str">
        <x:v>Must Read</x:v>
      </x:c>
      <x:c r="N7" s="30" t="str">
        <x:v>European Union</x:v>
      </x:c>
      <x:c r="O7" s="30" t="str">
        <x:v>Should people always know when they are interacting with AI or seeing AI-generated content?</x:v>
      </x:c>
      <x:c r="P7" s="30" t="str">
        <x:v>https://digital-strategy.ec.europa.eu/en/policies/guidelines-transparency-ai-generated-content</x:v>
      </x:c>
      <x:c r="Q7" s="30" t="str">
        <x:v>Article 50 applies from 2 August 2026.</x:v>
      </x:c>
      <x:c r="R7" s="30" t="str">
        <x:v>Read closely</x:v>
      </x:c>
    </x:row>
    <x:row r="8">
      <x:c r="A8" s="30" t="n">
        <x:v>5</x:v>
      </x:c>
      <x:c r="B8" s="30" t="str">
        <x:v>Governance &amp; Measurement</x:v>
      </x:c>
      <x:c r="C8" s="30" t="str">
        <x:v>General-purpose AI obligations</x:v>
      </x:c>
      <x:c r="D8" s="30" t="str">
        <x:v>Guidelines for providers of general-purpose AI models</x:v>
      </x:c>
      <x:c r="E8" s="30" t="str">
        <x:v>European Commission</x:v>
      </x:c>
      <x:c r="F8" s="30" t="n">
        <x:v>2026</x:v>
      </x:c>
      <x:c r="G8" s="30" t="str">
        <x:v>Regulatory guidance</x:v>
      </x:c>
      <x:c r="H8" s="30" t="str">
        <x:v>Official</x:v>
      </x:c>
      <x:c r="I8" s="30" t="str">
        <x:v>Clarifies obligations for providers of general-purpose AI models and the Commission's enforcement role.</x:v>
      </x:c>
      <x:c r="J8" s="30" t="str">
        <x:v>Gives readers a current compliance perspective on frontier and general-purpose models rather than generic AI regulation.</x:v>
      </x:c>
      <x:c r="K8" s="30" t="str">
        <x:v>GPAI governance; provider responsibilities; seminar discussion</x:v>
      </x:c>
      <x:c r="L8" s="30" t="n">
        <x:v>5</x:v>
      </x:c>
      <x:c r="M8" s="30" t="str">
        <x:v>Strong</x:v>
      </x:c>
      <x:c r="N8" s="30" t="str">
        <x:v>European Union</x:v>
      </x:c>
      <x:c r="O8" s="30" t="str">
        <x:v>What extra duties should apply to powerful general-purpose models?</x:v>
      </x:c>
      <x:c r="P8" s="30" t="str">
        <x:v>https://digital-strategy.ec.europa.eu/en/policies/guidelines-gpai-providers</x:v>
      </x:c>
      <x:c r="Q8" s="30" t="str">
        <x:v>Commission enforcement powers apply from 2 August 2026.</x:v>
      </x:c>
      <x:c r="R8" s="30" t="str">
        <x:v>Read/skim</x:v>
      </x:c>
    </x:row>
    <x:row r="9">
      <x:c r="A9" s="30" t="n">
        <x:v>6</x:v>
      </x:c>
      <x:c r="B9" s="30" t="str">
        <x:v>India &amp; Global South</x:v>
      </x:c>
      <x:c r="C9" s="30" t="str">
        <x:v>India AI governance</x:v>
      </x:c>
      <x:c r="D9" s="30" t="str">
        <x:v>India AI Governance Guidelines: Empowering Ethical and Responsible AI</x:v>
      </x:c>
      <x:c r="E9" s="30" t="str">
        <x:v>IndiaAI / MeitY</x:v>
      </x:c>
      <x:c r="F9" s="30" t="n">
        <x:v>2025</x:v>
      </x:c>
      <x:c r="G9" s="30" t="str">
        <x:v>National governance guidance</x:v>
      </x:c>
      <x:c r="H9" s="30" t="str">
        <x:v>Official</x:v>
      </x:c>
      <x:c r="I9" s="30" t="str">
        <x:v>Sets out principles and recommendations around fairness, accountability, safety, inclusivity and trustworthy AI in India.</x:v>
      </x:c>
      <x:c r="J9" s="30" t="str">
        <x:v>Adds an India-specific governance perspective and prevents the reading list from being US/EU-centric.</x:v>
      </x:c>
      <x:c r="K9" s="30" t="str">
        <x:v>India case study; policy comparison; local context</x:v>
      </x:c>
      <x:c r="L9" s="30" t="n">
        <x:v>4</x:v>
      </x:c>
      <x:c r="M9" s="30" t="str">
        <x:v>Must Read</x:v>
      </x:c>
      <x:c r="N9" s="30" t="str">
        <x:v>India</x:v>
      </x:c>
      <x:c r="O9" s="30" t="str">
        <x:v>How should responsible AI governance reflect India's scale, diversity and public-interest priorities?</x:v>
      </x:c>
      <x:c r="P9" s="30" t="str">
        <x:v>https://indiaai.gov.in/article/india-ai-governance-guidelines-empowering-ethical-and-responsible-ai</x:v>
      </x:c>
      <x:c r="Q9" s="30" t="str">
        <x:v>Released 5 Nov 2025 under the IndiaAI Mission.</x:v>
      </x:c>
      <x:c r="R9" s="30" t="str">
        <x:v>Read closely</x:v>
      </x:c>
    </x:row>
    <x:row r="10">
      <x:c r="A10" s="30" t="n">
        <x:v>7</x:v>
      </x:c>
      <x:c r="B10" s="30" t="str">
        <x:v>India &amp; Global South</x:v>
      </x:c>
      <x:c r="C10" s="30" t="str">
        <x:v>AI safety capacity</x:v>
      </x:c>
      <x:c r="D10" s="30" t="str">
        <x:v>Safe &amp; Trusted AI Working Group</x:v>
      </x:c>
      <x:c r="E10" s="30" t="str">
        <x:v>India AI Impact Summit</x:v>
      </x:c>
      <x:c r="F10" s="30" t="n">
        <x:v>2026</x:v>
      </x:c>
      <x:c r="G10" s="30" t="str">
        <x:v>Policy / working-group output</x:v>
      </x:c>
      <x:c r="H10" s="30" t="str">
        <x:v>Official</x:v>
      </x:c>
      <x:c r="I10" s="30" t="str">
        <x:v>Focuses on AI safety capacity, evaluation, governance and incorporating Global South perspectives into international AI safety frameworks.</x:v>
      </x:c>
      <x:c r="J10" s="30" t="str">
        <x:v>Useful for understanding how safety debates are being localized beyond US/EU institutions.</x:v>
      </x:c>
      <x:c r="K10" s="30" t="str">
        <x:v>India 2026 update; global governance; discussion prompt</x:v>
      </x:c>
      <x:c r="L10" s="30" t="n">
        <x:v>5</x:v>
      </x:c>
      <x:c r="M10" s="30" t="str">
        <x:v>Strong</x:v>
      </x:c>
      <x:c r="N10" s="30" t="str">
        <x:v>India / Global South</x:v>
      </x:c>
      <x:c r="O10" s="30" t="str">
        <x:v>Who gets to define acceptable AI risk and safety standards globally?</x:v>
      </x:c>
      <x:c r="P10" s="30" t="str">
        <x:v>https://impact.indiaai.gov.in/working-groups/safe-trusted-ai</x:v>
      </x:c>
      <x:c r="Q10" s="30" t="str">
        <x:v>2026-relevant IndiaAI Impact Summit initiative.</x:v>
      </x:c>
      <x:c r="R10" s="30" t="str">
        <x:v>Read/skim</x:v>
      </x:c>
    </x:row>
    <x:row r="11">
      <x:c r="A11" s="30" t="n">
        <x:v>8</x:v>
      </x:c>
      <x:c r="B11" s="30" t="str">
        <x:v>Governance &amp; Measurement</x:v>
      </x:c>
      <x:c r="C11" s="30" t="str">
        <x:v>Risk management framework</x:v>
      </x:c>
      <x:c r="D11" s="30" t="str">
        <x:v>Artificial Intelligence Risk Management Framework: Generative Artificial Intelligence Profile (NIST AI 600-1)</x:v>
      </x:c>
      <x:c r="E11" s="30" t="str">
        <x:v>NIST</x:v>
      </x:c>
      <x:c r="F11" s="30" t="n">
        <x:v>2024</x:v>
      </x:c>
      <x:c r="G11" s="30" t="str">
        <x:v>Risk-management framework</x:v>
      </x:c>
      <x:c r="H11" s="30" t="str">
        <x:v>Official</x:v>
      </x:c>
      <x:c r="I11" s="30" t="str">
        <x:v>Identifies GenAI-specific risks and actions across the AI lifecycle, aligned with Govern, Map, Measure and Manage.</x:v>
      </x:c>
      <x:c r="J11" s="30" t="str">
        <x:v>One of the most practical sources for converting ethical concerns into operational risk controls.</x:v>
      </x:c>
      <x:c r="K11" s="30" t="str">
        <x:v>Risk register; deployment checklist; governance design</x:v>
      </x:c>
      <x:c r="L11" s="30" t="n">
        <x:v>4</x:v>
      </x:c>
      <x:c r="M11" s="30" t="str">
        <x:v>Must Read</x:v>
      </x:c>
      <x:c r="N11" s="30" t="str">
        <x:v>United States / cross-sector</x:v>
      </x:c>
      <x:c r="O11" s="30" t="str">
        <x:v>How can an organization operationalize trustworthy GenAI rather than merely state principles?</x:v>
      </x:c>
      <x:c r="P11" s="30" t="str">
        <x:v>https://www.nist.gov/publications/artificial-intelligence-risk-management-framework-generative-artificial-intelligence</x:v>
      </x:c>
      <x:c r="Q11" s="30" t="str">
        <x:v>Companion to NIST AI RMF 1.0.</x:v>
      </x:c>
      <x:c r="R11" s="30" t="str">
        <x:v>Read closely</x:v>
      </x:c>
    </x:row>
    <x:row r="12">
      <x:c r="A12" s="30" t="n">
        <x:v>9</x:v>
      </x:c>
      <x:c r="B12" s="30" t="str">
        <x:v>Foundations</x:v>
      </x:c>
      <x:c r="C12" s="30" t="str">
        <x:v>Human-rights-centered AI ethics</x:v>
      </x:c>
      <x:c r="D12" s="30" t="str">
        <x:v>Recommendation on the Ethics of Artificial Intelligence</x:v>
      </x:c>
      <x:c r="E12" s="30" t="str">
        <x:v>UNESCO</x:v>
      </x:c>
      <x:c r="F12" s="30" t="n">
        <x:v>2021</x:v>
      </x:c>
      <x:c r="G12" s="30" t="str">
        <x:v>International ethics standard</x:v>
      </x:c>
      <x:c r="H12" s="30" t="str">
        <x:v>Official</x:v>
      </x:c>
      <x:c r="I12" s="30" t="str">
        <x:v>Defines principles including proportionality, do-no-harm, safety, privacy, fairness, transparency, accountability, sustainability and human oversight.</x:v>
      </x:c>
      <x:c r="J12" s="30" t="str">
        <x:v>Provides a normative foundation for almost every later AI ethics topic.</x:v>
      </x:c>
      <x:c r="K12" s="30" t="str">
        <x:v>Foundations lecture; ethics framework; compare policies</x:v>
      </x:c>
      <x:c r="L12" s="30" t="n">
        <x:v>4</x:v>
      </x:c>
      <x:c r="M12" s="30" t="str">
        <x:v>Must Read</x:v>
      </x:c>
      <x:c r="N12" s="30" t="str">
        <x:v>Global</x:v>
      </x:c>
      <x:c r="O12" s="30" t="str">
        <x:v>What values should guide the design and deployment of AI systems?</x:v>
      </x:c>
      <x:c r="P12" s="30" t="str">
        <x:v>https://www.unesco.org/en/artificial-intelligence/recommendation-ethics</x:v>
      </x:c>
      <x:c r="Q12" s="30" t="str">
        <x:v>Global UNESCO recommendation; remains foundational in 2026.</x:v>
      </x:c>
      <x:c r="R12" s="30" t="str">
        <x:v>Read closely</x:v>
      </x:c>
    </x:row>
    <x:row r="13">
      <x:c r="A13" s="30" t="n">
        <x:v>10</x:v>
      </x:c>
      <x:c r="B13" s="30" t="str">
        <x:v>Foundations</x:v>
      </x:c>
      <x:c r="C13" s="30" t="str">
        <x:v>Trustworthy AI principles</x:v>
      </x:c>
      <x:c r="D13" s="30" t="str">
        <x:v>OECD AI Principles</x:v>
      </x:c>
      <x:c r="E13" s="30" t="str">
        <x:v>OECD</x:v>
      </x:c>
      <x:c r="F13" s="30" t="n">
        <x:v>2024</x:v>
      </x:c>
      <x:c r="G13" s="30" t="str">
        <x:v>International policy principles</x:v>
      </x:c>
      <x:c r="H13" s="30" t="str">
        <x:v>Official</x:v>
      </x:c>
      <x:c r="I13" s="30" t="str">
        <x:v>Principles for innovative and trustworthy AI, covering human rights, fairness, transparency, robustness, security and accountability.</x:v>
      </x:c>
      <x:c r="J13" s="30" t="str">
        <x:v>Concise policy baseline that is easy to compare against NIST, UNESCO, EU and national frameworks.</x:v>
      </x:c>
      <x:c r="K13" s="30" t="str">
        <x:v>Framework comparison; policy lecture; exam preparation</x:v>
      </x:c>
      <x:c r="L13" s="30" t="n">
        <x:v>3</x:v>
      </x:c>
      <x:c r="M13" s="30" t="str">
        <x:v>Strong</x:v>
      </x:c>
      <x:c r="N13" s="30" t="str">
        <x:v>Global</x:v>
      </x:c>
      <x:c r="O13" s="30" t="str">
        <x:v>What minimum principles should trustworthy AI systems satisfy across countries?</x:v>
      </x:c>
      <x:c r="P13" s="30" t="str">
        <x:v>https://oecd.ai/en/ai-principles</x:v>
      </x:c>
      <x:c r="Q13" s="30" t="str">
        <x:v>Initially adopted 2019; updated May 2024.</x:v>
      </x:c>
      <x:c r="R13" s="30" t="str">
        <x:v>Read/skim</x:v>
      </x:c>
    </x:row>
    <x:row r="14">
      <x:c r="A14" s="30" t="n">
        <x:v>11</x:v>
      </x:c>
      <x:c r="B14" s="30" t="str">
        <x:v>Human Rights</x:v>
      </x:c>
      <x:c r="C14" s="30" t="str">
        <x:v>International AI treaty</x:v>
      </x:c>
      <x:c r="D14" s="30" t="str">
        <x:v>Framework Convention on Artificial Intelligence and Human Rights, Democracy and the Rule of Law</x:v>
      </x:c>
      <x:c r="E14" s="30" t="str">
        <x:v>Council of Europe</x:v>
      </x:c>
      <x:c r="F14" s="30" t="n">
        <x:v>2024</x:v>
      </x:c>
      <x:c r="G14" s="30" t="str">
        <x:v>International treaty</x:v>
      </x:c>
      <x:c r="H14" s="30" t="str">
        <x:v>Official / legally binding framework</x:v>
      </x:c>
      <x:c r="I14" s="30" t="str">
        <x:v>Addresses human rights, democratic processes, autonomy, transparency, accountability, equality and privacy across the AI lifecycle.</x:v>
      </x:c>
      <x:c r="J14" s="30" t="str">
        <x:v>Shows the transition from voluntary ethics to treaty-based human-rights obligations.</x:v>
      </x:c>
      <x:c r="K14" s="30" t="str">
        <x:v>Human-rights module; legal governance; global policy</x:v>
      </x:c>
      <x:c r="L14" s="30" t="n">
        <x:v>3</x:v>
      </x:c>
      <x:c r="M14" s="30" t="str">
        <x:v>Strong</x:v>
      </x:c>
      <x:c r="N14" s="30" t="str">
        <x:v>International</x:v>
      </x:c>
      <x:c r="O14" s="30" t="str">
        <x:v>How should AI development be constrained when it may affect fundamental rights and democratic institutions?</x:v>
      </x:c>
      <x:c r="P14" s="30" t="str">
        <x:v>https://www.coe.int/en/web/artificial-intelligence/the-framework-convention-on-artificial-intelligence</x:v>
      </x:c>
      <x:c r="Q14" s="30" t="str">
        <x:v>First international legally binding treaty in this field; opened for signature 5 Sept 2024.</x:v>
      </x:c>
      <x:c r="R14" s="30" t="str">
        <x:v>Read/skim</x:v>
      </x:c>
    </x:row>
    <x:row r="15">
      <x:c r="A15" s="30" t="n">
        <x:v>12</x:v>
      </x:c>
      <x:c r="B15" s="30" t="str">
        <x:v>Governance &amp; Measurement</x:v>
      </x:c>
      <x:c r="C15" s="30" t="str">
        <x:v>Developer risk reporting</x:v>
      </x:c>
      <x:c r="D15" s="30" t="str">
        <x:v>How are AI developers managing risks? Insights from the Hiroshima AI Process reporting framework</x:v>
      </x:c>
      <x:c r="E15" s="30" t="str">
        <x:v>OECD</x:v>
      </x:c>
      <x:c r="F15" s="30" t="n">
        <x:v>2025</x:v>
      </x:c>
      <x:c r="G15" s="30" t="str">
        <x:v>International governance report</x:v>
      </x:c>
      <x:c r="H15" s="30" t="str">
        <x:v>Official / multi-stakeholder</x:v>
      </x:c>
      <x:c r="I15" s="30" t="str">
        <x:v>Analyzes how organizations report risk identification, safety, governance, content authentication and accountability practices.</x:v>
      </x:c>
      <x:c r="J15" s="30" t="str">
        <x:v>Gives concrete examples of how frontier developers operationalize risk management, not just what principles say.</x:v>
      </x:c>
      <x:c r="K15" s="30" t="str">
        <x:v>Industry governance; transparency; comparative analysis</x:v>
      </x:c>
      <x:c r="L15" s="30" t="n">
        <x:v>4</x:v>
      </x:c>
      <x:c r="M15" s="30" t="str">
        <x:v>Strong</x:v>
      </x:c>
      <x:c r="N15" s="30" t="str">
        <x:v>G7 / global</x:v>
      </x:c>
      <x:c r="O15" s="30" t="str">
        <x:v>Can voluntary transparency meaningfully improve accountability for advanced AI developers?</x:v>
      </x:c>
      <x:c r="P15" s="30" t="str">
        <x:v>https://oecd.ai/en/ai-publications/how-are-ai-developers-managing-risks-insights-from-responses-to-the-reporting-framework-of-the-hiroshima-ai-process-code-of-conduct</x:v>
      </x:c>
      <x:c r="Q15" s="30" t="str">
        <x:v>Reporting framework launched in 2025.</x:v>
      </x:c>
      <x:c r="R15" s="30" t="str">
        <x:v>Read/skim</x:v>
      </x:c>
    </x:row>
    <x:row r="16">
      <x:c r="A16" s="30" t="n">
        <x:v>31</x:v>
      </x:c>
      <x:c r="B16" s="30" t="str">
        <x:v>Education &amp; Research</x:v>
      </x:c>
      <x:c r="C16" s="30" t="str">
        <x:v>AI in education ethics</x:v>
      </x:c>
      <x:c r="D16" s="30" t="str">
        <x:v>AI and the future of education: Disruptions, dilemmas and directions</x:v>
      </x:c>
      <x:c r="E16" s="30" t="str">
        <x:v>UNESCO</x:v>
      </x:c>
      <x:c r="F16" s="30" t="n">
        <x:v>2026</x:v>
      </x:c>
      <x:c r="G16" s="30" t="str">
        <x:v>Policy / anthology</x:v>
      </x:c>
      <x:c r="H16" s="30" t="str">
        <x:v>Official / expert collection</x:v>
      </x:c>
      <x:c r="I16" s="30" t="str">
        <x:v>Explores philosophical, ethical and pedagogical dilemmas created by AI in education and human-machine co-creation.</x:v>
      </x:c>
      <x:c r="J16" s="30" t="str">
        <x:v>Useful domain case study showing how general AI-ethics principles change in a real institution such as education.</x:v>
      </x:c>
      <x:c r="K16" s="30" t="str">
        <x:v>Education case study; classroom discussion; policy</x:v>
      </x:c>
      <x:c r="L16" s="30" t="n">
        <x:v>5</x:v>
      </x:c>
      <x:c r="M16" s="30" t="str">
        <x:v>Strong</x:v>
      </x:c>
      <x:c r="N16" s="30" t="str">
        <x:v>Global</x:v>
      </x:c>
      <x:c r="O16" s="30" t="str">
        <x:v>How should education preserve human agency, fairness and learning integrity in an AI-rich environment?</x:v>
      </x:c>
      <x:c r="P16" s="30" t="str">
        <x:v>https://www.unesco.org/en/articles/ai-and-future-education-disruptions-dilemmas-and-directions</x:v>
      </x:c>
      <x:c r="Q16" s="30" t="str">
        <x:v>Published Jan 2026.</x:v>
      </x:c>
      <x:c r="R16" s="30" t="str">
        <x:v>Read/skim</x:v>
      </x:c>
    </x:row>
    <x:row r="17">
      <x:c r="A17" s="30" t="n">
        <x:v>32</x:v>
      </x:c>
      <x:c r="B17" s="30" t="str">
        <x:v>Foundations</x:v>
      </x:c>
      <x:c r="C17" s="30" t="str">
        <x:v>Scale, data and social harms</x:v>
      </x:c>
      <x:c r="D17" s="30" t="str">
        <x:v>On the Dangers of Stochastic Parrots: Can Language Models Be Too Big?</x:v>
      </x:c>
      <x:c r="E17" s="30" t="str">
        <x:v>Bender et al.</x:v>
      </x:c>
      <x:c r="F17" s="30" t="n">
        <x:v>2021</x:v>
      </x:c>
      <x:c r="G17" s="30" t="str">
        <x:v>FAccT research paper</x:v>
      </x:c>
      <x:c r="H17" s="30" t="str">
        <x:v>Peer-reviewed</x:v>
      </x:c>
      <x:c r="I17" s="30" t="str">
        <x:v>Raises concerns about environmental cost, training-data scale, bias, documentation and the gap between linguistic form and meaning.</x:v>
      </x:c>
      <x:c r="J17" s="30" t="str">
        <x:v>Foundational critical reading that explains why ethics concerns were present before today's frontier LLMs.</x:v>
      </x:c>
      <x:c r="K17" s="30" t="str">
        <x:v>Historical foundation; data ethics; critical perspective</x:v>
      </x:c>
      <x:c r="L17" s="30" t="n">
        <x:v>4</x:v>
      </x:c>
      <x:c r="M17" s="30" t="str">
        <x:v>Must Read</x:v>
      </x:c>
      <x:c r="N17" s="30" t="str">
        <x:v>Research</x:v>
      </x:c>
      <x:c r="O17" s="30" t="str">
        <x:v>Does scaling language models without understanding data and social context create predictable harms?</x:v>
      </x:c>
      <x:c r="P17" s="30" t="str">
        <x:v>https://dl.acm.org/doi/10.1145/3442188.3445922</x:v>
      </x:c>
      <x:c r="Q17" s="30" t="str">
        <x:v>FAccT 2021; foundational.</x:v>
      </x:c>
      <x:c r="R17" s="30" t="str">
        <x:v>Read closely</x:v>
      </x:c>
    </x:row>
    <x:row r="18">
      <x:c r="A18" s="30" t="n">
        <x:v>33</x:v>
      </x:c>
      <x:c r="B18" s="30" t="str">
        <x:v>Foundations</x:v>
      </x:c>
      <x:c r="C18" s="30" t="str">
        <x:v>Language-model harm taxonomy</x:v>
      </x:c>
      <x:c r="D18" s="30" t="str">
        <x:v>Ethical and Social Risks of Harm from Language Models</x:v>
      </x:c>
      <x:c r="E18" s="30" t="str">
        <x:v>Weidinger et al.</x:v>
      </x:c>
      <x:c r="F18" s="30" t="n">
        <x:v>2022</x:v>
      </x:c>
      <x:c r="G18" s="30" t="str">
        <x:v>Risk taxonomy / research</x:v>
      </x:c>
      <x:c r="H18" s="30" t="str">
        <x:v>Research</x:v>
      </x:c>
      <x:c r="I18" s="30" t="str">
        <x:v>Organizes harms around discrimination, information hazards, misinformation, malicious use, human-computer interaction and socioeconomic/environmental harms.</x:v>
      </x:c>
      <x:c r="J18" s="30" t="str">
        <x:v>One of the clearest early taxonomies for turning 'LLM ethics' into categories of harm.</x:v>
      </x:c>
      <x:c r="K18" s="30" t="str">
        <x:v>Foundations; risk taxonomy; related work</x:v>
      </x:c>
      <x:c r="L18" s="30" t="n">
        <x:v>4</x:v>
      </x:c>
      <x:c r="M18" s="30" t="str">
        <x:v>Must Read</x:v>
      </x:c>
      <x:c r="N18" s="30" t="str">
        <x:v>Research</x:v>
      </x:c>
      <x:c r="O18" s="30" t="str">
        <x:v>What types of harm can language models create, and through which pathways?</x:v>
      </x:c>
      <x:c r="P18" s="30" t="str">
        <x:v>https://arxiv.org/abs/2112.04359</x:v>
      </x:c>
      <x:c r="Q18" s="30" t="str">
        <x:v>Published work originated from DeepMind research.</x:v>
      </x:c>
      <x:c r="R18" s="30" t="str">
        <x:v>Read closely</x:v>
      </x:c>
    </x:row>
    <x:row r="19">
      <x:c r="A19" s="30" t="n">
        <x:v>34</x:v>
      </x:c>
      <x:c r="B19" s="30" t="str">
        <x:v>Foundations</x:v>
      </x:c>
      <x:c r="C19" s="30" t="str">
        <x:v>Foundation-model societal impact</x:v>
      </x:c>
      <x:c r="D19" s="30" t="str">
        <x:v>On the Opportunities and Risks of Foundation Models</x:v>
      </x:c>
      <x:c r="E19" s="30" t="str">
        <x:v>Bommasani et al.</x:v>
      </x:c>
      <x:c r="F19" s="30" t="n">
        <x:v>2021</x:v>
      </x:c>
      <x:c r="G19" s="30" t="str">
        <x:v>Research report</x:v>
      </x:c>
      <x:c r="H19" s="30" t="str">
        <x:v>Research</x:v>
      </x:c>
      <x:c r="I19" s="30" t="str">
        <x:v>Examines foundation models across capabilities, homogenization, adaptation, evaluation, robustness, security, fairness, misuse, law and societal impact.</x:v>
      </x:c>
      <x:c r="J19" s="30" t="str">
        <x:v>Provides broad conceptual background for why one upstream model can propagate benefits and harms across many downstream systems.</x:v>
      </x:c>
      <x:c r="K19" s="30" t="str">
        <x:v>Foundation models; societal impact; literature review</x:v>
      </x:c>
      <x:c r="L19" s="30" t="n">
        <x:v>3</x:v>
      </x:c>
      <x:c r="M19" s="30" t="str">
        <x:v>Strong</x:v>
      </x:c>
      <x:c r="N19" s="30" t="str">
        <x:v>Research</x:v>
      </x:c>
      <x:c r="O19" s="30" t="str">
        <x:v>How does reliance on a small number of foundation models concentrate systemic risk?</x:v>
      </x:c>
      <x:c r="P19" s="30" t="str">
        <x:v>https://arxiv.org/abs/2108.07258</x:v>
      </x:c>
      <x:c r="Q19" s="30" t="str">
        <x:v>Stanford CRFM foundational report.</x:v>
      </x:c>
      <x:c r="R19" s="30" t="str">
        <x:v>Read/skim</x:v>
      </x:c>
    </x:row>
  </x:sheetData>
  <x:mergeCells>
    <x:mergeCell ref="A1:R1"/>
  </x:mergeCells>
  <x:pageMargins left="0.7" right="0.7" top="0.75" bottom="0.75" header="0.3" footer="0.3"/>
  <x:tableParts count="1">
    <x:tablePart xmlns:r="http://schemas.openxmlformats.org/officeDocument/2006/relationships" r:id="Rf63b53e1646b46b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3" max="3" width="42" hidden="0" customWidth="1"/>
    <x:col min="4" max="4" width="12" hidden="0" customWidth="1"/>
    <x:col min="5" max="5" width="16" hidden="0" customWidth="1"/>
    <x:col min="6" max="6" width="34" hidden="0" customWidth="1"/>
    <x:col min="7" max="7" width="32" hidden="0" customWidth="1"/>
  </x:cols>
  <x:sheetData>
    <x:row r="1" ht="30" customHeight="1">
      <x:c r="A1" s="64" t="str">
        <x:v>Automation Source Configuration</x:v>
      </x:c>
      <x:c r="B1" s="64"/>
      <x:c r="C1" s="64"/>
      <x:c r="D1" s="64"/>
      <x:c r="E1" s="64"/>
      <x:c r="F1" s="64"/>
      <x:c r="G1" s="64"/>
    </x:row>
    <x:row r="3" ht="28" customHeight="1">
      <x:c r="A3" s="70" t="str">
        <x:v>Source</x:v>
      </x:c>
      <x:c r="B3" s="70" t="str">
        <x:v>Mode</x:v>
      </x:c>
      <x:c r="C3" s="70" t="str">
        <x:v>Endpoint / landing page</x:v>
      </x:c>
      <x:c r="D3" s="70" t="str">
        <x:v>Enabled</x:v>
      </x:c>
      <x:c r="E3" s="70" t="str">
        <x:v>Authority / 100</x:v>
      </x:c>
      <x:c r="F3" s="70" t="str">
        <x:v>Purpose</x:v>
      </x:c>
      <x:c r="G3" s="70" t="str">
        <x:v>Notes</x:v>
      </x:c>
    </x:row>
    <x:row r="4">
      <x:c r="A4" s="30" t="str">
        <x:v>arXiv</x:v>
      </x:c>
      <x:c r="B4" s="30" t="str">
        <x:v>API</x:v>
      </x:c>
      <x:c r="C4" s="30" t="str">
        <x:v>https://export.arxiv.org/api/query</x:v>
      </x:c>
      <x:c r="D4" s="30" t="str">
        <x:v>YES</x:v>
      </x:c>
      <x:c r="E4" s="30" t="n">
        <x:v>80</x:v>
      </x:c>
      <x:c r="F4" s="30" t="str">
        <x:v>Fresh preprints and current research</x:v>
      </x:c>
      <x:c r="G4" s="30" t="str">
        <x:v>3-second delay between repeated calls</x:v>
      </x:c>
    </x:row>
    <x:row r="5">
      <x:c r="A5" s="30" t="str">
        <x:v>OpenAlex</x:v>
      </x:c>
      <x:c r="B5" s="30" t="str">
        <x:v>API</x:v>
      </x:c>
      <x:c r="C5" s="30" t="str">
        <x:v>https://api.openalex.org/works</x:v>
      </x:c>
      <x:c r="D5" s="30" t="str">
        <x:v>YES</x:v>
      </x:c>
      <x:c r="E5" s="30" t="n">
        <x:v>85</x:v>
      </x:c>
      <x:c r="F5" s="30" t="str">
        <x:v>Broad scholarly discovery</x:v>
      </x:c>
      <x:c r="G5" s="30" t="str">
        <x:v>API key optional; free key recommended for regular use</x:v>
      </x:c>
    </x:row>
    <x:row r="6">
      <x:c r="A6" s="30" t="str">
        <x:v>Crossref</x:v>
      </x:c>
      <x:c r="B6" s="30" t="str">
        <x:v>API</x:v>
      </x:c>
      <x:c r="C6" s="30" t="str">
        <x:v>https://api.crossref.org/works</x:v>
      </x:c>
      <x:c r="D6" s="30" t="str">
        <x:v>YES</x:v>
      </x:c>
      <x:c r="E6" s="30" t="n">
        <x:v>88</x:v>
      </x:c>
      <x:c r="F6" s="30" t="str">
        <x:v>Published scholarly metadata / DOI discovery</x:v>
      </x:c>
      <x:c r="G6" s="30" t="str">
        <x:v>No sign-up required; contact email recommended</x:v>
      </x:c>
    </x:row>
    <x:row r="7">
      <x:c r="A7" s="30" t="str">
        <x:v>NIST AI</x:v>
      </x:c>
      <x:c r="B7" s="30" t="str">
        <x:v>Official page watch</x:v>
      </x:c>
      <x:c r="C7" s="30" t="str">
        <x:v>https://www.nist.gov/artificial-intelligence</x:v>
      </x:c>
      <x:c r="D7" s="30" t="str">
        <x:v>YES</x:v>
      </x:c>
      <x:c r="E7" s="30" t="n">
        <x:v>100</x:v>
      </x:c>
      <x:c r="F7" s="30" t="str">
        <x:v>US standards, evaluation, risk management</x:v>
      </x:c>
      <x:c r="G7" s="30" t="str">
        <x:v>Same-domain links only</x:v>
      </x:c>
    </x:row>
    <x:row r="8">
      <x:c r="A8" s="30" t="str">
        <x:v>European Commission AI</x:v>
      </x:c>
      <x:c r="B8" s="30" t="str">
        <x:v>Official page watch</x:v>
      </x:c>
      <x:c r="C8" s="30" t="str">
        <x:v>https://digital-strategy.ec.europa.eu/en/policies/regulatory-framework-ai</x:v>
      </x:c>
      <x:c r="D8" s="30" t="str">
        <x:v>YES</x:v>
      </x:c>
      <x:c r="E8" s="30" t="n">
        <x:v>100</x:v>
      </x:c>
      <x:c r="F8" s="30" t="str">
        <x:v>EU AI Act and implementation guidance</x:v>
      </x:c>
      <x:c r="G8" s="30" t="str">
        <x:v>Same-domain links only</x:v>
      </x:c>
    </x:row>
    <x:row r="9">
      <x:c r="A9" s="30" t="str">
        <x:v>OECD.AI Wonk</x:v>
      </x:c>
      <x:c r="B9" s="30" t="str">
        <x:v>Official page watch</x:v>
      </x:c>
      <x:c r="C9" s="30" t="str">
        <x:v>https://oecd.ai/en/wonk</x:v>
      </x:c>
      <x:c r="D9" s="30" t="str">
        <x:v>YES</x:v>
      </x:c>
      <x:c r="E9" s="30" t="n">
        <x:v>98</x:v>
      </x:c>
      <x:c r="F9" s="30" t="str">
        <x:v>Trustworthy AI policy analysis</x:v>
      </x:c>
      <x:c r="G9" s="30" t="str">
        <x:v>Same-domain links only</x:v>
      </x:c>
    </x:row>
    <x:row r="10">
      <x:c r="A10" s="30" t="str">
        <x:v>UNESCO AI Ethics</x:v>
      </x:c>
      <x:c r="B10" s="30" t="str">
        <x:v>Official page watch</x:v>
      </x:c>
      <x:c r="C10" s="30" t="str">
        <x:v>https://www.unesco.org/en/artificial-intelligence</x:v>
      </x:c>
      <x:c r="D10" s="30" t="str">
        <x:v>YES</x:v>
      </x:c>
      <x:c r="E10" s="30" t="n">
        <x:v>98</x:v>
      </x:c>
      <x:c r="F10" s="30" t="str">
        <x:v>Ethics, human rights, education, governance</x:v>
      </x:c>
      <x:c r="G10" s="30" t="str">
        <x:v>Same-domain links only</x:v>
      </x:c>
    </x:row>
    <x:row r="11">
      <x:c r="A11" s="30" t="str">
        <x:v>IndiaAI Safe &amp; Trusted</x:v>
      </x:c>
      <x:c r="B11" s="30" t="str">
        <x:v>Official page watch</x:v>
      </x:c>
      <x:c r="C11" s="30" t="str">
        <x:v>https://indiaai.gov.in/hub/safe-trusted-ai</x:v>
      </x:c>
      <x:c r="D11" s="30" t="str">
        <x:v>YES</x:v>
      </x:c>
      <x:c r="E11" s="30" t="n">
        <x:v>98</x:v>
      </x:c>
      <x:c r="F11" s="30" t="str">
        <x:v>India-specific responsible AI and safety</x:v>
      </x:c>
      <x:c r="G11" s="30" t="str">
        <x:v>Same-domain links only</x:v>
      </x:c>
    </x:row>
    <x:row r="14" ht="28" customHeight="1">
      <x:c r="A14" s="70" t="str">
        <x:v>Topic</x:v>
      </x:c>
      <x:c r="B14" s="70" t="str">
        <x:v>Enabled</x:v>
      </x:c>
      <x:c r="C14" s="70" t="str">
        <x:v>Minimum score</x:v>
      </x:c>
      <x:c r="D14" s="70" t="str">
        <x:v>Core keywords</x:v>
      </x:c>
      <x:c r="E14" s="70" t="str">
        <x:v>Priority</x:v>
      </x:c>
      <x:c r="F14" s="70" t="str">
        <x:v>Auto-promote?</x:v>
      </x:c>
      <x:c r="G14" s="70" t="str">
        <x:v>Reader purpose</x:v>
      </x:c>
    </x:row>
    <x:row r="15">
      <x:c r="A15" s="30" t="str">
        <x:v>LLM ethics</x:v>
      </x:c>
      <x:c r="B15" s="30" t="str">
        <x:v>YES</x:v>
      </x:c>
      <x:c r="C15" s="30" t="n">
        <x:v>70</x:v>
      </x:c>
      <x:c r="D15" s="30" t="str">
        <x:v>ethics; responsible AI; large language model; generative AI</x:v>
      </x:c>
      <x:c r="E15" s="30" t="str">
        <x:v>High</x:v>
      </x:c>
      <x:c r="F15" s="30" t="str">
        <x:v>NO</x:v>
      </x:c>
      <x:c r="G15" s="30" t="str">
        <x:v>General ethics / surveys</x:v>
      </x:c>
    </x:row>
    <x:row r="16">
      <x:c r="A16" s="30" t="str">
        <x:v>Bias &amp; fairness</x:v>
      </x:c>
      <x:c r="B16" s="30" t="str">
        <x:v>YES</x:v>
      </x:c>
      <x:c r="C16" s="30" t="n">
        <x:v>72</x:v>
      </x:c>
      <x:c r="D16" s="30" t="str">
        <x:v>bias; fairness; discrimination; stereotype; equity</x:v>
      </x:c>
      <x:c r="E16" s="30" t="str">
        <x:v>High</x:v>
      </x:c>
      <x:c r="F16" s="30" t="str">
        <x:v>NO</x:v>
      </x:c>
      <x:c r="G16" s="30" t="str">
        <x:v>Fairness evaluation and harms</x:v>
      </x:c>
    </x:row>
    <x:row r="17">
      <x:c r="A17" s="30" t="str">
        <x:v>Privacy &amp; memory</x:v>
      </x:c>
      <x:c r="B17" s="30" t="str">
        <x:v>YES</x:v>
      </x:c>
      <x:c r="C17" s="30" t="n">
        <x:v>72</x:v>
      </x:c>
      <x:c r="D17" s="30" t="str">
        <x:v>privacy; leakage; extraction; memory; personal data; contextual privacy</x:v>
      </x:c>
      <x:c r="E17" s="30" t="str">
        <x:v>High</x:v>
      </x:c>
      <x:c r="F17" s="30" t="str">
        <x:v>NO</x:v>
      </x:c>
      <x:c r="G17" s="30" t="str">
        <x:v>Training, chat and agent-memory privacy</x:v>
      </x:c>
    </x:row>
    <x:row r="18">
      <x:c r="A18" s="30" t="str">
        <x:v>Persuasion &amp; manipulation</x:v>
      </x:c>
      <x:c r="B18" s="30" t="str">
        <x:v>YES</x:v>
      </x:c>
      <x:c r="C18" s="30" t="n">
        <x:v>75</x:v>
      </x:c>
      <x:c r="D18" s="30" t="str">
        <x:v>persuasion; manipulation; influence; autonomy; dark patterns</x:v>
      </x:c>
      <x:c r="E18" s="30" t="str">
        <x:v>High</x:v>
      </x:c>
      <x:c r="F18" s="30" t="str">
        <x:v>NO</x:v>
      </x:c>
      <x:c r="G18" s="30" t="str">
        <x:v>Behavioral influence risks</x:v>
      </x:c>
    </x:row>
    <x:row r="19">
      <x:c r="A19" s="30" t="str">
        <x:v>Human-AI relationships</x:v>
      </x:c>
      <x:c r="B19" s="30" t="str">
        <x:v>YES</x:v>
      </x:c>
      <x:c r="C19" s="30" t="n">
        <x:v>75</x:v>
      </x:c>
      <x:c r="D19" s="30" t="str">
        <x:v>companion; emotional dependence; anthropomorphism; attachment; sycophancy</x:v>
      </x:c>
      <x:c r="E19" s="30" t="str">
        <x:v>High</x:v>
      </x:c>
      <x:c r="F19" s="30" t="str">
        <x:v>NO</x:v>
      </x:c>
      <x:c r="G19" s="30" t="str">
        <x:v>Long-term relational harms</x:v>
      </x:c>
    </x:row>
    <x:row r="20">
      <x:c r="A20" s="30" t="str">
        <x:v>Agentic AI</x:v>
      </x:c>
      <x:c r="B20" s="30" t="str">
        <x:v>YES</x:v>
      </x:c>
      <x:c r="C20" s="30" t="n">
        <x:v>72</x:v>
      </x:c>
      <x:c r="D20" s="30" t="str">
        <x:v>agentic AI; autonomous agent; tool use; delegation; multi-agent; agent safety</x:v>
      </x:c>
      <x:c r="E20" s="30" t="str">
        <x:v>High</x:v>
      </x:c>
      <x:c r="F20" s="30" t="str">
        <x:v>NO</x:v>
      </x:c>
      <x:c r="G20" s="30" t="str">
        <x:v>Governance of acting systems</x:v>
      </x:c>
    </x:row>
    <x:row r="21">
      <x:c r="A21" s="30" t="str">
        <x:v>Transparency &amp; accountability</x:v>
      </x:c>
      <x:c r="B21" s="30" t="str">
        <x:v>YES</x:v>
      </x:c>
      <x:c r="C21" s="30" t="n">
        <x:v>72</x:v>
      </x:c>
      <x:c r="D21" s="30" t="str">
        <x:v>transparency; accountability; explainability; disclosure; audit</x:v>
      </x:c>
      <x:c r="E21" s="30" t="str">
        <x:v>High</x:v>
      </x:c>
      <x:c r="F21" s="30" t="str">
        <x:v>YES only if official &amp; &gt;=95</x:v>
      </x:c>
      <x:c r="G21" s="30" t="str">
        <x:v>Governance and responsibility</x:v>
      </x:c>
    </x:row>
    <x:row r="22">
      <x:c r="A22" s="30" t="str">
        <x:v>Regulation &amp; standards</x:v>
      </x:c>
      <x:c r="B22" s="30" t="str">
        <x:v>YES</x:v>
      </x:c>
      <x:c r="C22" s="30" t="n">
        <x:v>75</x:v>
      </x:c>
      <x:c r="D22" s="30" t="str">
        <x:v>AI Act; regulation; standard; guidelines; governance framework</x:v>
      </x:c>
      <x:c r="E22" s="30" t="str">
        <x:v>High</x:v>
      </x:c>
      <x:c r="F22" s="30" t="str">
        <x:v>YES only if official &amp; &gt;=95</x:v>
      </x:c>
      <x:c r="G22" s="30" t="str">
        <x:v>Legal / policy change</x:v>
      </x:c>
    </x:row>
    <x:row r="23">
      <x:c r="A23" s="30" t="str">
        <x:v>India / Global South</x:v>
      </x:c>
      <x:c r="B23" s="30" t="str">
        <x:v>YES</x:v>
      </x:c>
      <x:c r="C23" s="30" t="n">
        <x:v>68</x:v>
      </x:c>
      <x:c r="D23" s="30" t="str">
        <x:v>IndiaAI; India AI; Global South; inclusive AI; multilingual AI</x:v>
      </x:c>
      <x:c r="E23" s="30" t="str">
        <x:v>Medium</x:v>
      </x:c>
      <x:c r="F23" s="30" t="str">
        <x:v>YES only if official &amp; &gt;=95</x:v>
      </x:c>
      <x:c r="G23" s="30" t="str">
        <x:v>India-specific governance</x:v>
      </x:c>
    </x:row>
    <x:row r="24">
      <x:c r="A24" s="30" t="str">
        <x:v>Environment &amp; labor</x:v>
      </x:c>
      <x:c r="B24" s="30" t="str">
        <x:v>YES</x:v>
      </x:c>
      <x:c r="C24" s="30" t="n">
        <x:v>72</x:v>
      </x:c>
      <x:c r="D24" s="30" t="str">
        <x:v>energy; water; carbon; labor; jobs; automation; inequality</x:v>
      </x:c>
      <x:c r="E24" s="30" t="str">
        <x:v>Medium</x:v>
      </x:c>
      <x:c r="F24" s="30" t="str">
        <x:v>NO</x:v>
      </x:c>
      <x:c r="G24" s="30" t="str">
        <x:v>Socioeconomic / environmental ethics</x:v>
      </x:c>
    </x:row>
  </x:sheetData>
  <x:mergeCells>
    <x:mergeCell ref="A1:G1"/>
  </x:mergeCells>
  <x:dataValidations count="1">
    <x:dataValidation type="list" sqref="D4:D30">
      <x:formula1>"YES,NO"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5" hidden="0" customWidth="1"/>
    <x:col min="4" max="4" width="18" hidden="0" customWidth="1"/>
    <x:col min="5" max="5" width="18" hidden="0" customWidth="1"/>
    <x:col min="6" max="6" width="16" hidden="0" customWidth="1"/>
    <x:col min="7" max="7" width="16" hidden="0" customWidth="1"/>
    <x:col min="8" max="8" width="16" hidden="0" customWidth="1"/>
    <x:col min="9" max="9" width="42" hidden="0" customWidth="1"/>
  </x:cols>
  <x:sheetData>
    <x:row r="1" ht="30" customHeight="1">
      <x:c r="A1" s="64" t="str">
        <x:v>Automation Update Log</x:v>
      </x:c>
      <x:c r="B1" s="64"/>
      <x:c r="C1" s="64"/>
      <x:c r="D1" s="64"/>
      <x:c r="E1" s="64"/>
      <x:c r="F1" s="64"/>
      <x:c r="G1" s="64"/>
      <x:c r="H1" s="64"/>
      <x:c r="I1" s="64"/>
    </x:row>
    <x:row r="3" ht="28" customHeight="1">
      <x:c r="A3" s="70" t="str">
        <x:v>Run time</x:v>
      </x:c>
      <x:c r="B3" s="70" t="str">
        <x:v>Mode</x:v>
      </x:c>
      <x:c r="C3" s="70" t="str">
        <x:v>Sources checked</x:v>
      </x:c>
      <x:c r="D3" s="70" t="str">
        <x:v>Candidates fetched</x:v>
      </x:c>
      <x:c r="E3" s="70" t="str">
        <x:v>New after dedupe</x:v>
      </x:c>
      <x:c r="F3" s="70" t="str">
        <x:v>New This Week</x:v>
      </x:c>
      <x:c r="G3" s="70" t="str">
        <x:v>Review Queue</x:v>
      </x:c>
      <x:c r="H3" s="70" t="str">
        <x:v>Auto-promoted</x:v>
      </x:c>
      <x:c r="I3" s="70" t="str">
        <x:v>Errors / notes</x:v>
      </x:c>
    </x:row>
    <x:row r="4">
      <x:c r="A4" s="30" t="str">
        <x:v>2026-08-16 12:18 IST</x:v>
      </x:c>
      <x:c r="B4" s="30" t="str">
        <x:v>Initial build</x:v>
      </x:c>
      <x:c r="C4" s="30" t="n">
        <x:v>8</x:v>
      </x:c>
      <x:c r="D4" s="30" t="n">
        <x:v>0</x:v>
      </x:c>
      <x:c r="E4" s="30" t="n">
        <x:v>0</x:v>
      </x:c>
      <x:c r="F4" s="30" t="n">
        <x:v>0</x:v>
      </x:c>
      <x:c r="G4" s="30" t="n">
        <x:v>0</x:v>
      </x:c>
      <x:c r="H4" s="30" t="n">
        <x:v>0</x:v>
      </x:c>
      <x:c r="I4" s="30" t="str">
        <x:v>Living tracker structure initialized</x:v>
      </x:c>
    </x:row>
  </x:sheetData>
  <x:mergeCells>
    <x:mergeCell ref="A1:I1"/>
  </x:mergeCells>
  <x:pageMargins left="0.7" right="0.7" top="0.75" bottom="0.75" header="0.3" footer="0.3"/>
  <x:tableParts count="1">
    <x:tablePart xmlns:r="http://schemas.openxmlformats.org/officeDocument/2006/relationships" r:id="R597df254820e43b4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0" hidden="0" customWidth="1"/>
    <x:col min="3" max="3" width="42" hidden="0" customWidth="1"/>
    <x:col min="4" max="4" width="15" hidden="0" customWidth="1"/>
    <x:col min="5" max="5" width="38" hidden="0" customWidth="1"/>
    <x:col min="6" max="6" width="44" hidden="0" customWidth="1"/>
  </x:cols>
  <x:sheetData>
    <x:row r="1" ht="30" customHeight="1">
      <x:c r="A1" s="64" t="str">
        <x:v>How to Run the Automatic Tracker</x:v>
      </x:c>
      <x:c r="B1" s="64"/>
      <x:c r="C1" s="64"/>
      <x:c r="D1" s="64"/>
      <x:c r="E1" s="64"/>
      <x:c r="F1" s="64"/>
    </x:row>
    <x:row r="3" ht="28" customHeight="1">
      <x:c r="A3" s="70" t="str">
        <x:v>Step</x:v>
      </x:c>
      <x:c r="B3" s="70" t="str">
        <x:v>Action</x:v>
      </x:c>
      <x:c r="C3" s="70" t="str">
        <x:v>What happens</x:v>
      </x:c>
      <x:c r="D3" s="70" t="str">
        <x:v>Required?</x:v>
      </x:c>
      <x:c r="E3" s="70" t="str">
        <x:v>Where</x:v>
      </x:c>
      <x:c r="F3" s="70" t="str">
        <x:v>Notes</x:v>
      </x:c>
    </x:row>
    <x:row r="4">
      <x:c r="A4" s="30" t="n">
        <x:v>1</x:v>
      </x:c>
      <x:c r="B4" s="30" t="str">
        <x:v>Create a GitHub repository</x:v>
      </x:c>
      <x:c r="C4" s="30" t="str">
        <x:v>Stores the tracker code, data and latest XLSX</x:v>
      </x:c>
      <x:c r="D4" s="30" t="str">
        <x:v>YES</x:v>
      </x:c>
      <x:c r="E4" s="30" t="str">
        <x:v>GitHub</x:v>
      </x:c>
      <x:c r="F4" s="30" t="str">
        <x:v>Private repo is fine</x:v>
      </x:c>
    </x:row>
    <x:row r="5">
      <x:c r="A5" s="30" t="n">
        <x:v>2</x:v>
      </x:c>
      <x:c r="B5" s="30" t="str">
        <x:v>Upload the supplied tracker package</x:v>
      </x:c>
      <x:c r="C5" s="30" t="str">
        <x:v>Adds Python updater + workflow + config + seed library</x:v>
      </x:c>
      <x:c r="D5" s="30" t="str">
        <x:v>YES</x:v>
      </x:c>
      <x:c r="E5" s="30" t="str">
        <x:v>Repository root</x:v>
      </x:c>
      <x:c r="F5" s="30" t="str">
        <x:v>Keep folder structure unchanged</x:v>
      </x:c>
    </x:row>
    <x:row r="6">
      <x:c r="A6" s="30" t="n">
        <x:v>3</x:v>
      </x:c>
      <x:c r="B6" s="30" t="str">
        <x:v>Enable GitHub Actions</x:v>
      </x:c>
      <x:c r="C6" s="30" t="str">
        <x:v>Allows the scheduled workflow to run</x:v>
      </x:c>
      <x:c r="D6" s="30" t="str">
        <x:v>YES</x:v>
      </x:c>
      <x:c r="E6" s="30" t="str">
        <x:v>Repo → Actions</x:v>
      </x:c>
      <x:c r="F6" s="30" t="str">
        <x:v>Workflow can also be run manually</x:v>
      </x:c>
    </x:row>
    <x:row r="7">
      <x:c r="A7" s="30" t="n">
        <x:v>4</x:v>
      </x:c>
      <x:c r="B7" s="30" t="str">
        <x:v>Optional: add OPENALEX_API_KEY</x:v>
      </x:c>
      <x:c r="C7" s="30" t="str">
        <x:v>Raises OpenAlex API budget</x:v>
      </x:c>
      <x:c r="D7" s="30" t="str">
        <x:v>NO</x:v>
      </x:c>
      <x:c r="E7" s="30" t="str">
        <x:v>Repo → Settings → Secrets and variables → Actions</x:v>
      </x:c>
      <x:c r="F7" s="30" t="str">
        <x:v>Keyless mode still works for light use</x:v>
      </x:c>
    </x:row>
    <x:row r="8">
      <x:c r="A8" s="30" t="n">
        <x:v>5</x:v>
      </x:c>
      <x:c r="B8" s="30" t="str">
        <x:v>Optional: add CONTACT_EMAIL</x:v>
      </x:c>
      <x:c r="C8" s="30" t="str">
        <x:v>Used for polite API identification</x:v>
      </x:c>
      <x:c r="D8" s="30" t="str">
        <x:v>Recommended</x:v>
      </x:c>
      <x:c r="E8" s="30" t="str">
        <x:v>Repo → Settings → Secrets and variables → Actions</x:v>
      </x:c>
      <x:c r="F8" s="30" t="str">
        <x:v>Crossref recommends mailto for polite pool</x:v>
      </x:c>
    </x:row>
    <x:row r="9">
      <x:c r="A9" s="30" t="n">
        <x:v>6</x:v>
      </x:c>
      <x:c r="B9" s="30" t="str">
        <x:v>Weekly scheduled run</x:v>
      </x:c>
      <x:c r="C9" s="30" t="str">
        <x:v>Fetches recent work, deduplicates, scores and rebuilds workbook</x:v>
      </x:c>
      <x:c r="D9" s="30" t="str">
        <x:v>Automatic</x:v>
      </x:c>
      <x:c r="E9" s="30" t="str">
        <x:v>.github/workflows/update_tracker.yml</x:v>
      </x:c>
      <x:c r="F9" s="30" t="str">
        <x:v>Default: Monday 08:00 Asia/Kolkata</x:v>
      </x:c>
    </x:row>
    <x:row r="10">
      <x:c r="A10" s="30" t="n">
        <x:v>7</x:v>
      </x:c>
      <x:c r="B10" s="30" t="str">
        <x:v>Open New This Week / Review Queue</x:v>
      </x:c>
      <x:c r="C10" s="30" t="str">
        <x:v>See what changed and why it was flagged</x:v>
      </x:c>
      <x:c r="D10" s="30" t="str">
        <x:v>Reader action</x:v>
      </x:c>
      <x:c r="E10" s="30" t="str">
        <x:v>Excel workbook</x:v>
      </x:c>
      <x:c r="F10" s="30" t="str">
        <x:v>Curated library is protected from low-quality auto-additions</x:v>
      </x:c>
    </x:row>
  </x:sheetData>
  <x:mergeCells>
    <x:mergeCell ref="A1:F1"/>
  </x:mergeCells>
  <x:pageMargins left="0.7" right="0.7" top="0.75" bottom="0.75" header="0.3" footer="0.3"/>
</x:worksheet>
</file>